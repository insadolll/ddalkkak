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ad\claude\"/>
    </mc:Choice>
  </mc:AlternateContent>
  <xr:revisionPtr revIDLastSave="0" documentId="8_{532B22EC-5323-4A45-9D57-DE4342D408D3}" xr6:coauthVersionLast="47" xr6:coauthVersionMax="47" xr10:uidLastSave="{00000000-0000-0000-0000-000000000000}"/>
  <bookViews>
    <workbookView xWindow="6576" yWindow="2544" windowWidth="30960" windowHeight="12120" xr2:uid="{EEE0553A-E548-42C2-BF4F-2D07FE6CECF3}"/>
  </bookViews>
  <sheets>
    <sheet name="법인카드" sheetId="2" r:id="rId1"/>
    <sheet name="Sheet1" sheetId="1" r:id="rId2"/>
  </sheets>
  <externalReferences>
    <externalReference r:id="rId3"/>
  </externalReferences>
  <definedNames>
    <definedName name="_xlnm._FilterDatabase" localSheetId="0" hidden="1">법인카드!$A$24:$O$48</definedName>
    <definedName name="_xlnm.Print_Area" localSheetId="0">법인카드!$A$19:$O$171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6" i="2" l="1"/>
  <c r="F235" i="2"/>
  <c r="A235" i="2"/>
  <c r="F234" i="2"/>
  <c r="A234" i="2"/>
  <c r="F233" i="2"/>
  <c r="A233" i="2"/>
  <c r="F232" i="2"/>
  <c r="A232" i="2"/>
  <c r="F231" i="2"/>
  <c r="A231" i="2"/>
  <c r="F230" i="2"/>
  <c r="A230" i="2"/>
  <c r="F229" i="2"/>
  <c r="A229" i="2"/>
  <c r="F228" i="2"/>
  <c r="A228" i="2"/>
  <c r="F227" i="2"/>
  <c r="A227" i="2"/>
  <c r="F226" i="2"/>
  <c r="A226" i="2"/>
  <c r="F225" i="2"/>
  <c r="A225" i="2"/>
  <c r="F224" i="2"/>
  <c r="A224" i="2"/>
  <c r="F223" i="2"/>
  <c r="A223" i="2"/>
  <c r="F222" i="2"/>
  <c r="A222" i="2"/>
  <c r="F221" i="2"/>
  <c r="A221" i="2"/>
  <c r="F220" i="2"/>
  <c r="B220" i="2"/>
  <c r="A220" i="2"/>
  <c r="F219" i="2"/>
  <c r="B219" i="2"/>
  <c r="A219" i="2"/>
  <c r="F218" i="2"/>
  <c r="B218" i="2"/>
  <c r="A218" i="2"/>
  <c r="F217" i="2"/>
  <c r="B217" i="2"/>
  <c r="A217" i="2"/>
  <c r="F216" i="2"/>
  <c r="B216" i="2"/>
  <c r="A216" i="2"/>
  <c r="F215" i="2"/>
  <c r="B215" i="2"/>
  <c r="A215" i="2"/>
  <c r="F214" i="2"/>
  <c r="B214" i="2"/>
  <c r="A214" i="2"/>
  <c r="F213" i="2"/>
  <c r="B213" i="2"/>
  <c r="A213" i="2"/>
  <c r="F212" i="2"/>
  <c r="B212" i="2"/>
  <c r="A212" i="2"/>
  <c r="F211" i="2"/>
  <c r="B211" i="2"/>
  <c r="A211" i="2"/>
  <c r="F210" i="2"/>
  <c r="B210" i="2"/>
  <c r="A210" i="2"/>
  <c r="F209" i="2"/>
  <c r="B209" i="2"/>
  <c r="A209" i="2"/>
  <c r="F208" i="2"/>
  <c r="B208" i="2"/>
  <c r="A208" i="2"/>
  <c r="F207" i="2"/>
  <c r="B207" i="2"/>
  <c r="A207" i="2"/>
  <c r="F206" i="2"/>
  <c r="B206" i="2"/>
  <c r="A206" i="2"/>
  <c r="F205" i="2"/>
  <c r="B205" i="2"/>
  <c r="A205" i="2"/>
  <c r="F204" i="2"/>
  <c r="B204" i="2"/>
  <c r="A204" i="2"/>
  <c r="F203" i="2"/>
  <c r="B203" i="2"/>
  <c r="A203" i="2"/>
  <c r="F202" i="2"/>
  <c r="B202" i="2"/>
  <c r="A202" i="2"/>
  <c r="F201" i="2"/>
  <c r="B201" i="2"/>
  <c r="A201" i="2"/>
  <c r="F200" i="2"/>
  <c r="B200" i="2"/>
  <c r="A200" i="2"/>
  <c r="F199" i="2"/>
  <c r="B199" i="2"/>
  <c r="A199" i="2"/>
  <c r="F198" i="2"/>
  <c r="B198" i="2"/>
  <c r="A198" i="2"/>
  <c r="F197" i="2"/>
  <c r="B197" i="2"/>
  <c r="A197" i="2"/>
  <c r="F196" i="2"/>
  <c r="B196" i="2"/>
  <c r="A196" i="2"/>
  <c r="F195" i="2"/>
  <c r="B195" i="2"/>
  <c r="A195" i="2"/>
  <c r="F194" i="2"/>
  <c r="B194" i="2"/>
  <c r="A194" i="2"/>
  <c r="F193" i="2"/>
  <c r="B193" i="2"/>
  <c r="A193" i="2"/>
  <c r="F192" i="2"/>
  <c r="B192" i="2"/>
  <c r="A192" i="2"/>
  <c r="F191" i="2"/>
  <c r="B191" i="2"/>
  <c r="A191" i="2"/>
  <c r="F190" i="2"/>
  <c r="B190" i="2"/>
  <c r="A190" i="2"/>
  <c r="F189" i="2"/>
  <c r="B189" i="2"/>
  <c r="A189" i="2"/>
  <c r="F188" i="2"/>
  <c r="B188" i="2"/>
  <c r="A188" i="2"/>
  <c r="F187" i="2"/>
  <c r="B187" i="2"/>
  <c r="A187" i="2"/>
  <c r="M186" i="2"/>
  <c r="F186" i="2"/>
  <c r="B186" i="2"/>
  <c r="A186" i="2"/>
  <c r="M185" i="2"/>
  <c r="F185" i="2"/>
  <c r="B185" i="2"/>
  <c r="A185" i="2"/>
  <c r="M184" i="2"/>
  <c r="F184" i="2"/>
  <c r="B184" i="2"/>
  <c r="A184" i="2"/>
  <c r="M183" i="2"/>
  <c r="F183" i="2"/>
  <c r="B183" i="2"/>
  <c r="A183" i="2"/>
  <c r="M182" i="2"/>
  <c r="F182" i="2"/>
  <c r="B182" i="2"/>
  <c r="A182" i="2"/>
  <c r="M181" i="2"/>
  <c r="F181" i="2"/>
  <c r="B181" i="2"/>
  <c r="A181" i="2"/>
  <c r="M180" i="2"/>
  <c r="F180" i="2"/>
  <c r="B180" i="2"/>
  <c r="A180" i="2"/>
  <c r="M179" i="2"/>
  <c r="F179" i="2"/>
  <c r="B179" i="2"/>
  <c r="A179" i="2"/>
  <c r="M178" i="2"/>
  <c r="F178" i="2"/>
  <c r="B178" i="2"/>
  <c r="A178" i="2"/>
  <c r="M177" i="2"/>
  <c r="F177" i="2"/>
  <c r="B177" i="2"/>
  <c r="A177" i="2"/>
  <c r="M176" i="2"/>
  <c r="F176" i="2"/>
  <c r="B176" i="2"/>
  <c r="A176" i="2"/>
  <c r="M175" i="2"/>
  <c r="F175" i="2"/>
  <c r="B175" i="2"/>
  <c r="A175" i="2"/>
  <c r="M174" i="2"/>
  <c r="F174" i="2"/>
  <c r="B174" i="2"/>
  <c r="A174" i="2"/>
  <c r="M173" i="2"/>
  <c r="F173" i="2"/>
  <c r="B173" i="2"/>
  <c r="A173" i="2"/>
  <c r="M172" i="2"/>
  <c r="F172" i="2"/>
  <c r="B172" i="2"/>
  <c r="A172" i="2"/>
  <c r="M171" i="2"/>
  <c r="F171" i="2"/>
  <c r="B171" i="2"/>
  <c r="A171" i="2"/>
  <c r="M170" i="2"/>
  <c r="F170" i="2"/>
  <c r="B170" i="2"/>
  <c r="A170" i="2"/>
  <c r="M169" i="2"/>
  <c r="F169" i="2"/>
  <c r="B169" i="2"/>
  <c r="A169" i="2"/>
  <c r="M168" i="2"/>
  <c r="F168" i="2"/>
  <c r="B168" i="2"/>
  <c r="A168" i="2"/>
  <c r="M167" i="2"/>
  <c r="F167" i="2"/>
  <c r="B167" i="2"/>
  <c r="A167" i="2"/>
  <c r="M166" i="2"/>
  <c r="F166" i="2"/>
  <c r="B166" i="2"/>
  <c r="A166" i="2"/>
  <c r="M165" i="2"/>
  <c r="F165" i="2"/>
  <c r="B165" i="2"/>
  <c r="A165" i="2"/>
  <c r="M164" i="2"/>
  <c r="F164" i="2"/>
  <c r="B164" i="2"/>
  <c r="A164" i="2"/>
  <c r="F163" i="2"/>
  <c r="B163" i="2"/>
  <c r="A163" i="2"/>
  <c r="F162" i="2"/>
  <c r="B162" i="2"/>
  <c r="A162" i="2"/>
  <c r="F161" i="2"/>
  <c r="B161" i="2"/>
  <c r="A161" i="2"/>
  <c r="F160" i="2"/>
  <c r="B160" i="2"/>
  <c r="A160" i="2"/>
  <c r="F159" i="2"/>
  <c r="B159" i="2"/>
  <c r="A159" i="2"/>
  <c r="F158" i="2"/>
  <c r="B158" i="2"/>
  <c r="A158" i="2"/>
  <c r="F157" i="2"/>
  <c r="B157" i="2"/>
  <c r="A157" i="2"/>
  <c r="F156" i="2"/>
  <c r="B156" i="2"/>
  <c r="A156" i="2"/>
  <c r="F155" i="2"/>
  <c r="B155" i="2"/>
  <c r="A155" i="2"/>
  <c r="F154" i="2"/>
  <c r="B154" i="2"/>
  <c r="A154" i="2"/>
  <c r="F153" i="2"/>
  <c r="B153" i="2"/>
  <c r="A153" i="2"/>
  <c r="F152" i="2"/>
  <c r="B152" i="2"/>
  <c r="A152" i="2"/>
  <c r="F151" i="2"/>
  <c r="B151" i="2"/>
  <c r="A151" i="2"/>
  <c r="F150" i="2"/>
  <c r="B150" i="2"/>
  <c r="A150" i="2"/>
  <c r="F149" i="2"/>
  <c r="B149" i="2"/>
  <c r="A149" i="2"/>
  <c r="F148" i="2"/>
  <c r="B148" i="2"/>
  <c r="A148" i="2"/>
  <c r="F147" i="2"/>
  <c r="B147" i="2"/>
  <c r="A147" i="2"/>
  <c r="F146" i="2"/>
  <c r="B146" i="2"/>
  <c r="A146" i="2"/>
  <c r="F145" i="2"/>
  <c r="B145" i="2"/>
  <c r="A145" i="2"/>
  <c r="F144" i="2"/>
  <c r="B144" i="2"/>
  <c r="A144" i="2"/>
  <c r="F143" i="2"/>
  <c r="B143" i="2"/>
  <c r="A143" i="2"/>
  <c r="F142" i="2"/>
  <c r="B142" i="2"/>
  <c r="A142" i="2"/>
  <c r="F141" i="2"/>
  <c r="B141" i="2"/>
  <c r="A141" i="2"/>
  <c r="F140" i="2"/>
  <c r="B140" i="2"/>
  <c r="A140" i="2"/>
  <c r="F139" i="2"/>
  <c r="B139" i="2"/>
  <c r="A139" i="2"/>
  <c r="F138" i="2"/>
  <c r="B138" i="2"/>
  <c r="A138" i="2"/>
  <c r="F137" i="2"/>
  <c r="B137" i="2"/>
  <c r="A137" i="2"/>
  <c r="F136" i="2"/>
  <c r="B136" i="2"/>
  <c r="A136" i="2"/>
  <c r="F135" i="2"/>
  <c r="B135" i="2"/>
  <c r="A135" i="2"/>
  <c r="F134" i="2"/>
  <c r="B134" i="2"/>
  <c r="A134" i="2"/>
  <c r="F133" i="2"/>
  <c r="B133" i="2"/>
  <c r="A133" i="2"/>
  <c r="F132" i="2"/>
  <c r="B132" i="2"/>
  <c r="A132" i="2"/>
  <c r="F131" i="2"/>
  <c r="B131" i="2"/>
  <c r="A131" i="2"/>
  <c r="F130" i="2"/>
  <c r="B130" i="2"/>
  <c r="A130" i="2"/>
  <c r="F129" i="2"/>
  <c r="B129" i="2"/>
  <c r="A129" i="2"/>
  <c r="F128" i="2"/>
  <c r="B128" i="2"/>
  <c r="A128" i="2"/>
  <c r="F127" i="2"/>
  <c r="B127" i="2"/>
  <c r="A127" i="2"/>
  <c r="F126" i="2"/>
  <c r="B126" i="2"/>
  <c r="A126" i="2"/>
  <c r="F125" i="2"/>
  <c r="B125" i="2"/>
  <c r="A125" i="2"/>
  <c r="F124" i="2"/>
  <c r="B124" i="2"/>
  <c r="A124" i="2"/>
  <c r="F123" i="2"/>
  <c r="B123" i="2"/>
  <c r="A123" i="2"/>
  <c r="F122" i="2"/>
  <c r="B122" i="2"/>
  <c r="A122" i="2"/>
  <c r="F121" i="2"/>
  <c r="B121" i="2"/>
  <c r="A121" i="2"/>
  <c r="M120" i="2"/>
  <c r="F120" i="2"/>
  <c r="B120" i="2"/>
  <c r="A120" i="2"/>
  <c r="M119" i="2"/>
  <c r="F119" i="2"/>
  <c r="B119" i="2"/>
  <c r="A119" i="2"/>
  <c r="M118" i="2"/>
  <c r="F118" i="2"/>
  <c r="B118" i="2"/>
  <c r="A118" i="2"/>
  <c r="M117" i="2"/>
  <c r="F117" i="2"/>
  <c r="B117" i="2"/>
  <c r="A117" i="2"/>
  <c r="M116" i="2"/>
  <c r="F116" i="2"/>
  <c r="B116" i="2"/>
  <c r="A116" i="2"/>
  <c r="M115" i="2"/>
  <c r="F115" i="2"/>
  <c r="B115" i="2"/>
  <c r="A115" i="2"/>
  <c r="M114" i="2"/>
  <c r="F114" i="2"/>
  <c r="B114" i="2"/>
  <c r="A114" i="2"/>
  <c r="M113" i="2"/>
  <c r="F113" i="2"/>
  <c r="B113" i="2"/>
  <c r="A113" i="2"/>
  <c r="M112" i="2"/>
  <c r="F112" i="2"/>
  <c r="B112" i="2"/>
  <c r="A112" i="2"/>
  <c r="M111" i="2"/>
  <c r="F111" i="2"/>
  <c r="B111" i="2"/>
  <c r="A111" i="2"/>
  <c r="M110" i="2"/>
  <c r="F110" i="2"/>
  <c r="B110" i="2"/>
  <c r="A110" i="2"/>
  <c r="M109" i="2"/>
  <c r="F109" i="2"/>
  <c r="B109" i="2"/>
  <c r="A109" i="2"/>
  <c r="M108" i="2"/>
  <c r="F108" i="2"/>
  <c r="B108" i="2"/>
  <c r="A108" i="2"/>
  <c r="M107" i="2"/>
  <c r="F107" i="2"/>
  <c r="B107" i="2"/>
  <c r="A107" i="2"/>
  <c r="M106" i="2"/>
  <c r="F106" i="2"/>
  <c r="B106" i="2"/>
  <c r="A106" i="2"/>
  <c r="M105" i="2"/>
  <c r="F105" i="2"/>
  <c r="B105" i="2"/>
  <c r="A105" i="2"/>
  <c r="M104" i="2"/>
  <c r="F104" i="2"/>
  <c r="B104" i="2"/>
  <c r="A104" i="2"/>
  <c r="M103" i="2"/>
  <c r="F103" i="2"/>
  <c r="B103" i="2"/>
  <c r="A103" i="2"/>
  <c r="M102" i="2"/>
  <c r="F102" i="2"/>
  <c r="B102" i="2"/>
  <c r="A102" i="2"/>
  <c r="M101" i="2"/>
  <c r="F101" i="2"/>
  <c r="B101" i="2"/>
  <c r="A101" i="2"/>
  <c r="M100" i="2"/>
  <c r="F100" i="2"/>
  <c r="B100" i="2"/>
  <c r="A100" i="2"/>
  <c r="M99" i="2"/>
  <c r="F99" i="2"/>
  <c r="B99" i="2"/>
  <c r="A99" i="2"/>
  <c r="M98" i="2"/>
  <c r="F98" i="2"/>
  <c r="B98" i="2"/>
  <c r="A98" i="2"/>
  <c r="M97" i="2"/>
  <c r="F97" i="2"/>
  <c r="B97" i="2"/>
  <c r="A97" i="2"/>
  <c r="M96" i="2"/>
  <c r="F96" i="2"/>
  <c r="B96" i="2"/>
  <c r="A96" i="2"/>
  <c r="M95" i="2"/>
  <c r="F95" i="2"/>
  <c r="B95" i="2"/>
  <c r="A95" i="2"/>
  <c r="M94" i="2"/>
  <c r="F94" i="2"/>
  <c r="B94" i="2"/>
  <c r="A94" i="2"/>
  <c r="M93" i="2"/>
  <c r="F93" i="2"/>
  <c r="B93" i="2"/>
  <c r="A93" i="2"/>
  <c r="M92" i="2"/>
  <c r="F92" i="2"/>
  <c r="B92" i="2"/>
  <c r="A92" i="2"/>
  <c r="M91" i="2"/>
  <c r="F91" i="2"/>
  <c r="B91" i="2"/>
  <c r="A91" i="2"/>
  <c r="M90" i="2"/>
  <c r="F90" i="2"/>
  <c r="B90" i="2"/>
  <c r="A90" i="2"/>
  <c r="M89" i="2"/>
  <c r="F89" i="2"/>
  <c r="B89" i="2"/>
  <c r="A89" i="2"/>
  <c r="M88" i="2"/>
  <c r="F88" i="2"/>
  <c r="B88" i="2"/>
  <c r="A88" i="2"/>
  <c r="M87" i="2"/>
  <c r="F87" i="2"/>
  <c r="B87" i="2"/>
  <c r="A87" i="2"/>
  <c r="M86" i="2"/>
  <c r="F86" i="2"/>
  <c r="B86" i="2"/>
  <c r="A86" i="2"/>
  <c r="M85" i="2"/>
  <c r="F85" i="2"/>
  <c r="B85" i="2"/>
  <c r="A85" i="2"/>
  <c r="M84" i="2"/>
  <c r="F84" i="2"/>
  <c r="B84" i="2"/>
  <c r="A84" i="2"/>
  <c r="M83" i="2"/>
  <c r="F83" i="2"/>
  <c r="B83" i="2"/>
  <c r="A83" i="2"/>
  <c r="M82" i="2"/>
  <c r="F82" i="2"/>
  <c r="B82" i="2"/>
  <c r="A82" i="2"/>
  <c r="M81" i="2"/>
  <c r="F81" i="2"/>
  <c r="B81" i="2"/>
  <c r="A81" i="2"/>
  <c r="M80" i="2"/>
  <c r="F80" i="2"/>
  <c r="B80" i="2"/>
  <c r="A80" i="2"/>
  <c r="M79" i="2"/>
  <c r="F79" i="2"/>
  <c r="B79" i="2"/>
  <c r="A79" i="2"/>
  <c r="M78" i="2"/>
  <c r="F78" i="2"/>
  <c r="B78" i="2"/>
  <c r="A78" i="2"/>
  <c r="M77" i="2"/>
  <c r="F77" i="2"/>
  <c r="B77" i="2"/>
  <c r="A77" i="2"/>
  <c r="M76" i="2"/>
  <c r="F76" i="2"/>
  <c r="B76" i="2"/>
  <c r="A76" i="2"/>
  <c r="M75" i="2"/>
  <c r="F75" i="2"/>
  <c r="B75" i="2"/>
  <c r="A75" i="2"/>
  <c r="M74" i="2"/>
  <c r="F74" i="2"/>
  <c r="B74" i="2"/>
  <c r="A74" i="2"/>
  <c r="M73" i="2"/>
  <c r="F73" i="2"/>
  <c r="B73" i="2"/>
  <c r="A73" i="2"/>
  <c r="M72" i="2"/>
  <c r="F72" i="2"/>
  <c r="B72" i="2"/>
  <c r="A72" i="2"/>
  <c r="M71" i="2"/>
  <c r="F71" i="2"/>
  <c r="B71" i="2"/>
  <c r="A71" i="2"/>
  <c r="M70" i="2"/>
  <c r="F70" i="2"/>
  <c r="B70" i="2"/>
  <c r="A70" i="2"/>
  <c r="M69" i="2"/>
  <c r="F69" i="2"/>
  <c r="B69" i="2"/>
  <c r="A69" i="2"/>
  <c r="M68" i="2"/>
  <c r="F68" i="2"/>
  <c r="B68" i="2"/>
  <c r="A68" i="2"/>
  <c r="M67" i="2"/>
  <c r="F67" i="2"/>
  <c r="B67" i="2"/>
  <c r="A67" i="2"/>
  <c r="M66" i="2"/>
  <c r="F66" i="2"/>
  <c r="B66" i="2"/>
  <c r="A66" i="2"/>
  <c r="M65" i="2"/>
  <c r="F65" i="2"/>
  <c r="B65" i="2"/>
  <c r="A65" i="2"/>
  <c r="M64" i="2"/>
  <c r="F64" i="2"/>
  <c r="B64" i="2"/>
  <c r="A64" i="2"/>
  <c r="M63" i="2"/>
  <c r="F63" i="2"/>
  <c r="B63" i="2"/>
  <c r="A63" i="2"/>
  <c r="M62" i="2"/>
  <c r="F62" i="2"/>
  <c r="B62" i="2"/>
  <c r="A62" i="2"/>
  <c r="M61" i="2"/>
  <c r="F61" i="2"/>
  <c r="B61" i="2"/>
  <c r="A61" i="2"/>
  <c r="M60" i="2"/>
  <c r="F60" i="2"/>
  <c r="B60" i="2"/>
  <c r="A60" i="2"/>
  <c r="M59" i="2"/>
  <c r="F59" i="2"/>
  <c r="B59" i="2"/>
  <c r="A59" i="2"/>
  <c r="M58" i="2"/>
  <c r="F58" i="2"/>
  <c r="B58" i="2"/>
  <c r="A58" i="2"/>
  <c r="M57" i="2"/>
  <c r="F57" i="2"/>
  <c r="B57" i="2"/>
  <c r="A57" i="2"/>
  <c r="M56" i="2"/>
  <c r="F56" i="2"/>
  <c r="B56" i="2"/>
  <c r="A56" i="2"/>
  <c r="M55" i="2"/>
  <c r="F55" i="2"/>
  <c r="B55" i="2"/>
  <c r="A55" i="2"/>
  <c r="M54" i="2"/>
  <c r="F54" i="2"/>
  <c r="B54" i="2"/>
  <c r="A54" i="2"/>
  <c r="M53" i="2"/>
  <c r="F53" i="2"/>
  <c r="B53" i="2"/>
  <c r="A53" i="2"/>
  <c r="M52" i="2"/>
  <c r="F52" i="2"/>
  <c r="B52" i="2"/>
  <c r="A52" i="2"/>
  <c r="F51" i="2"/>
  <c r="B51" i="2"/>
  <c r="A51" i="2"/>
  <c r="F50" i="2"/>
  <c r="B50" i="2"/>
  <c r="A50" i="2"/>
  <c r="F49" i="2"/>
  <c r="B49" i="2"/>
  <c r="A49" i="2"/>
  <c r="F48" i="2"/>
  <c r="B48" i="2"/>
  <c r="A48" i="2"/>
  <c r="F47" i="2"/>
  <c r="B47" i="2"/>
  <c r="A47" i="2"/>
  <c r="F46" i="2"/>
  <c r="B46" i="2"/>
  <c r="A46" i="2"/>
  <c r="F45" i="2"/>
  <c r="B45" i="2"/>
  <c r="A45" i="2"/>
  <c r="F44" i="2"/>
  <c r="B44" i="2"/>
  <c r="A44" i="2"/>
  <c r="F43" i="2"/>
  <c r="B43" i="2"/>
  <c r="A43" i="2"/>
  <c r="F42" i="2"/>
  <c r="B42" i="2"/>
  <c r="A42" i="2"/>
  <c r="F41" i="2"/>
  <c r="B41" i="2"/>
  <c r="A41" i="2"/>
  <c r="F40" i="2"/>
  <c r="B40" i="2"/>
  <c r="A40" i="2"/>
  <c r="F39" i="2"/>
  <c r="B39" i="2"/>
  <c r="A39" i="2"/>
  <c r="F38" i="2"/>
  <c r="B38" i="2"/>
  <c r="A38" i="2"/>
  <c r="F37" i="2"/>
  <c r="B37" i="2"/>
  <c r="A37" i="2"/>
  <c r="F36" i="2"/>
  <c r="B36" i="2"/>
  <c r="A36" i="2"/>
  <c r="F35" i="2"/>
  <c r="B35" i="2"/>
  <c r="A35" i="2"/>
  <c r="F34" i="2"/>
  <c r="B34" i="2"/>
  <c r="A34" i="2"/>
  <c r="F33" i="2"/>
  <c r="B33" i="2"/>
  <c r="A33" i="2"/>
  <c r="F32" i="2"/>
  <c r="B32" i="2"/>
  <c r="A32" i="2"/>
  <c r="F31" i="2"/>
  <c r="B31" i="2"/>
  <c r="A31" i="2"/>
  <c r="F30" i="2"/>
  <c r="B30" i="2"/>
  <c r="A30" i="2"/>
  <c r="F29" i="2"/>
  <c r="B29" i="2"/>
  <c r="A29" i="2"/>
  <c r="F28" i="2"/>
  <c r="B28" i="2"/>
  <c r="A28" i="2"/>
  <c r="F27" i="2"/>
  <c r="B27" i="2"/>
  <c r="A27" i="2"/>
  <c r="F26" i="2"/>
  <c r="B26" i="2"/>
  <c r="A26" i="2"/>
  <c r="F25" i="2"/>
  <c r="B25" i="2"/>
  <c r="A25" i="2"/>
  <c r="F24" i="2"/>
  <c r="B24" i="2"/>
  <c r="A24" i="2"/>
  <c r="I23" i="2"/>
  <c r="H22" i="2" s="1"/>
  <c r="H23" i="2"/>
  <c r="G23" i="2"/>
  <c r="F23" i="2"/>
  <c r="F22" i="2" s="1"/>
  <c r="F2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Taekjin Yoo</author>
    <author>권나영</author>
  </authors>
  <commentList>
    <comment ref="C19" authorId="0" shapeId="0" xr:uid="{FC021426-35EA-4700-BBA9-F9E23C219A89}">
      <text>
        <r>
          <rPr>
            <b/>
            <sz val="9"/>
            <color indexed="81"/>
            <rFont val="돋움"/>
            <family val="3"/>
            <charset val="129"/>
          </rPr>
          <t>법인카드-현금 or 개인카드-현금 항목중 기입</t>
        </r>
      </text>
    </comment>
    <comment ref="D19" authorId="0" shapeId="0" xr:uid="{B6CF476E-F55C-43E0-9F40-AB4096C30350}">
      <text>
        <r>
          <rPr>
            <b/>
            <sz val="9"/>
            <color indexed="81"/>
            <rFont val="돋움"/>
            <family val="3"/>
            <charset val="129"/>
          </rPr>
          <t>카드 or 현금 항목중 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9FC7BD4D-1BEA-442E-BDA8-8FC852AF3C92}">
      <text>
        <r>
          <rPr>
            <b/>
            <sz val="9"/>
            <color indexed="81"/>
            <rFont val="돋움"/>
            <family val="3"/>
            <charset val="129"/>
          </rPr>
          <t>점심, 저녁, 간식, 접대, 교통비, 숙박비, 
영업비, 경조사, 지원비 항목중 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1" shapeId="0" xr:uid="{B2128A5C-7088-4432-A042-96F5BE3E5916}">
      <text>
        <r>
          <rPr>
            <b/>
            <sz val="9"/>
            <color indexed="81"/>
            <rFont val="돋움"/>
            <family val="3"/>
            <charset val="129"/>
          </rPr>
          <t>계좌이체나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현금사용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하지마시고</t>
        </r>
        <r>
          <rPr>
            <b/>
            <sz val="9"/>
            <color indexed="81"/>
            <rFont val="Tahoma"/>
            <family val="2"/>
          </rPr>
          <t>,  
'</t>
        </r>
        <r>
          <rPr>
            <b/>
            <sz val="9"/>
            <color indexed="81"/>
            <rFont val="돋움"/>
            <family val="3"/>
            <charset val="129"/>
          </rPr>
          <t>사업자지출증빙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㈜휴바이오켐</t>
        </r>
        <r>
          <rPr>
            <b/>
            <sz val="9"/>
            <color indexed="81"/>
            <rFont val="Tahoma"/>
            <family val="2"/>
          </rPr>
          <t xml:space="preserve"> 648-81-03114) </t>
        </r>
      </text>
    </comment>
  </commentList>
</comments>
</file>

<file path=xl/sharedStrings.xml><?xml version="1.0" encoding="utf-8"?>
<sst xmlns="http://schemas.openxmlformats.org/spreadsheetml/2006/main" count="1016" uniqueCount="189">
  <si>
    <t>1. 법인카드 정산 마감</t>
    <phoneticPr fontId="3" type="noConversion"/>
  </si>
  <si>
    <t xml:space="preserve"> - 마감시한: 익월 10일(사전 경고 후 법인카드 한도 조정)</t>
    <phoneticPr fontId="3" type="noConversion"/>
  </si>
  <si>
    <t xml:space="preserve"> - 전표입력: 개인별 이용내역조회 시트는 마감일 3일이내 업데이트 → 권나영과장요청</t>
    <phoneticPr fontId="3" type="noConversion"/>
  </si>
  <si>
    <t>2. 현금영수증</t>
    <phoneticPr fontId="3" type="noConversion"/>
  </si>
  <si>
    <t xml:space="preserve"> - 계좌이체나 현금사용 시 증빙은 개인으로 하지마시고,  '사업자지출증빙'으로 발급(주식회사 휴바이오켐 648-81-03114) </t>
    <phoneticPr fontId="3" type="noConversion"/>
  </si>
  <si>
    <t xml:space="preserve">3. 간이계산서 </t>
    <phoneticPr fontId="3" type="noConversion"/>
  </si>
  <si>
    <t xml:space="preserve"> - 간이영수증을 받아야 하는 경우는 '3만원 한도'</t>
    <phoneticPr fontId="3" type="noConversion"/>
  </si>
  <si>
    <t xml:space="preserve">4. 세금계산서 </t>
    <phoneticPr fontId="3" type="noConversion"/>
  </si>
  <si>
    <t xml:space="preserve"> - 세금계산서는 익월 10일에 마감되니, 가급적 거래완료 후 바로 발급요청</t>
    <phoneticPr fontId="3" type="noConversion"/>
  </si>
  <si>
    <t>5. 영수증 실물 제출</t>
    <phoneticPr fontId="3" type="noConversion"/>
  </si>
  <si>
    <t xml:space="preserve"> - 개인카드영수증: 미제출 시 비용정산 불가</t>
    <phoneticPr fontId="3" type="noConversion"/>
  </si>
  <si>
    <t xml:space="preserve"> - 법인카드영수증: 마트 및 편의점 구매영수증(금액과 상관없이 의무 제출 - 구매내역 포함), 일반 구매영수증 10만원 이상 영수증</t>
    <phoneticPr fontId="3" type="noConversion"/>
  </si>
  <si>
    <t>6. 법인카드 구매 불가 상품</t>
    <phoneticPr fontId="3" type="noConversion"/>
  </si>
  <si>
    <t xml:space="preserve"> - 유가증권: 상품권, 기프티콘(단, 사전 기안에 의한 승인 시 가능, 반드시 상품권수령동의서 제출 필요)</t>
    <phoneticPr fontId="3" type="noConversion"/>
  </si>
  <si>
    <t>날짜</t>
    <phoneticPr fontId="2" type="noConversion"/>
  </si>
  <si>
    <t>법인
or
개인</t>
    <phoneticPr fontId="2" type="noConversion"/>
  </si>
  <si>
    <t>카드
or
현금</t>
    <phoneticPr fontId="2" type="noConversion"/>
  </si>
  <si>
    <t>내역</t>
    <phoneticPr fontId="2" type="noConversion"/>
  </si>
  <si>
    <t>지  출  금  액</t>
    <phoneticPr fontId="2" type="noConversion"/>
  </si>
  <si>
    <t>거래처</t>
    <phoneticPr fontId="2" type="noConversion"/>
  </si>
  <si>
    <t>적요</t>
    <phoneticPr fontId="2" type="noConversion"/>
  </si>
  <si>
    <t>상호</t>
    <phoneticPr fontId="2" type="noConversion"/>
  </si>
  <si>
    <t>비고</t>
    <phoneticPr fontId="2" type="noConversion"/>
  </si>
  <si>
    <t>담당자</t>
    <phoneticPr fontId="2" type="noConversion"/>
  </si>
  <si>
    <t>법인카드</t>
    <phoneticPr fontId="2" type="noConversion"/>
  </si>
  <si>
    <t>법인현금</t>
    <phoneticPr fontId="2" type="noConversion"/>
  </si>
  <si>
    <t>개인카드</t>
    <phoneticPr fontId="2" type="noConversion"/>
  </si>
  <si>
    <t>개인현금</t>
    <phoneticPr fontId="2" type="noConversion"/>
  </si>
  <si>
    <t>월</t>
    <phoneticPr fontId="2" type="noConversion"/>
  </si>
  <si>
    <t>일</t>
    <phoneticPr fontId="2" type="noConversion"/>
  </si>
  <si>
    <t>법인</t>
    <phoneticPr fontId="2" type="noConversion"/>
  </si>
  <si>
    <t>카드</t>
    <phoneticPr fontId="2" type="noConversion"/>
  </si>
  <si>
    <t>식대</t>
    <phoneticPr fontId="2" type="noConversion"/>
  </si>
  <si>
    <t>석식 (권영태, 남상민)</t>
    <phoneticPr fontId="2" type="noConversion"/>
  </si>
  <si>
    <t>한국맥도날드(유)</t>
  </si>
  <si>
    <t>중식 (권영태, 남상민)</t>
    <phoneticPr fontId="2" type="noConversion"/>
  </si>
  <si>
    <t>진국설렁탕</t>
  </si>
  <si>
    <t>교통비</t>
    <phoneticPr fontId="2" type="noConversion"/>
  </si>
  <si>
    <t>출근 택시비</t>
    <phoneticPr fontId="2" type="noConversion"/>
  </si>
  <si>
    <t>로카모빌리티택시_0</t>
  </si>
  <si>
    <t>출장 점심</t>
    <phoneticPr fontId="2" type="noConversion"/>
  </si>
  <si>
    <t>아모제푸드(주)인천공항점</t>
  </si>
  <si>
    <t>출장 복귀 택시비</t>
    <phoneticPr fontId="2" type="noConversion"/>
  </si>
  <si>
    <t>티머니개인택시(K)1</t>
  </si>
  <si>
    <t>중식 (남상민, 권나영)</t>
    <phoneticPr fontId="2" type="noConversion"/>
  </si>
  <si>
    <t>다락회전초밥</t>
  </si>
  <si>
    <t>소모품</t>
    <phoneticPr fontId="2" type="noConversion"/>
  </si>
  <si>
    <t>장갑 구입</t>
    <phoneticPr fontId="2" type="noConversion"/>
  </si>
  <si>
    <t>(주)컴투프리테크 당산지점</t>
  </si>
  <si>
    <t>본리왕뼈해장국</t>
  </si>
  <si>
    <t>신사부대찌개&amp;품격삼겹살</t>
  </si>
  <si>
    <t>소프트웨어 구매</t>
    <phoneticPr fontId="2" type="noConversion"/>
  </si>
  <si>
    <t>MS Office 사용료</t>
    <phoneticPr fontId="2" type="noConversion"/>
  </si>
  <si>
    <t>MICROSOFT-G098642730</t>
  </si>
  <si>
    <t>출장 중식 (남상민)</t>
    <phoneticPr fontId="2" type="noConversion"/>
  </si>
  <si>
    <t>국수나무 당산SK점</t>
  </si>
  <si>
    <t>남상민</t>
    <phoneticPr fontId="2" type="noConversion"/>
  </si>
  <si>
    <t>석식 (권영태, 남상민, 김민재)</t>
    <phoneticPr fontId="2" type="noConversion"/>
  </si>
  <si>
    <t>상하이몽</t>
  </si>
  <si>
    <t>중식 (양도영, 남상민, 김민재)</t>
    <phoneticPr fontId="2" type="noConversion"/>
  </si>
  <si>
    <t>일번지비빔국수 서충주점</t>
  </si>
  <si>
    <t>중식 (권영태, 남상민, 김민재)</t>
    <phoneticPr fontId="2" type="noConversion"/>
  </si>
  <si>
    <t>태태식당</t>
  </si>
  <si>
    <t>간식</t>
    <phoneticPr fontId="2" type="noConversion"/>
  </si>
  <si>
    <t>음료(남상민, 권나영)</t>
    <phoneticPr fontId="2" type="noConversion"/>
  </si>
  <si>
    <t>바나프레소당산SK점</t>
  </si>
  <si>
    <t>중식 (남상민)</t>
    <phoneticPr fontId="2" type="noConversion"/>
  </si>
  <si>
    <t>산뽀갈땐김밥</t>
  </si>
  <si>
    <t>중식(텔콘 정다운, 텔콘 양희준, 남상민)</t>
    <phoneticPr fontId="2" type="noConversion"/>
  </si>
  <si>
    <t>중앙탑한우</t>
  </si>
  <si>
    <t>숙박비</t>
    <phoneticPr fontId="2" type="noConversion"/>
  </si>
  <si>
    <t>텔콘 출장 숙박 (남상민)</t>
    <phoneticPr fontId="2" type="noConversion"/>
  </si>
  <si>
    <t>리베파크</t>
  </si>
  <si>
    <t>석식 (남상민, 김민재)</t>
    <phoneticPr fontId="2" type="noConversion"/>
  </si>
  <si>
    <t>쿠팡이츠_쿠팡이츠_나이스</t>
  </si>
  <si>
    <t>김둘레순대국</t>
  </si>
  <si>
    <t>쿠팡이츠_쿠팡이츠_KCP</t>
  </si>
  <si>
    <t>참이맛감자탕 마곡나루역점</t>
  </si>
  <si>
    <t>퇴근 택시비(LGCNS-자택)</t>
    <phoneticPr fontId="2" type="noConversion"/>
  </si>
  <si>
    <t>티머니 택시(Corp)</t>
  </si>
  <si>
    <t>LGCNS미팅 택시비</t>
    <phoneticPr fontId="2" type="noConversion"/>
  </si>
  <si>
    <t>석식 (LGCNS김남진, 남상민)</t>
    <phoneticPr fontId="2" type="noConversion"/>
  </si>
  <si>
    <t>마곡삼계탕</t>
  </si>
  <si>
    <t>MICROSOFT-G103849433</t>
  </si>
  <si>
    <t>중식 (남상민, 김민재)</t>
    <phoneticPr fontId="2" type="noConversion"/>
  </si>
  <si>
    <t>야근 석식 (권영태, 남상민, 김민재)</t>
    <phoneticPr fontId="2" type="noConversion"/>
  </si>
  <si>
    <t>여권/비자</t>
    <phoneticPr fontId="2" type="noConversion"/>
  </si>
  <si>
    <t>ESTA 전자여행허가 신청 수수료</t>
    <phoneticPr fontId="2" type="noConversion"/>
  </si>
  <si>
    <t>야근 석식 (남상민)</t>
    <phoneticPr fontId="2" type="noConversion"/>
  </si>
  <si>
    <t>주차비</t>
    <phoneticPr fontId="2" type="noConversion"/>
  </si>
  <si>
    <t>성수 짐정리 (권영태)</t>
    <phoneticPr fontId="2" type="noConversion"/>
  </si>
  <si>
    <t>벨크로 타이 구매</t>
    <phoneticPr fontId="2" type="noConversion"/>
  </si>
  <si>
    <t>UTP케이블 구매</t>
    <phoneticPr fontId="2" type="noConversion"/>
  </si>
  <si>
    <t>텔콘 출장 석식 (남상민, 김민재)</t>
    <phoneticPr fontId="2" type="noConversion"/>
  </si>
  <si>
    <t>텔콘 출장 숙박 (남상민, 김민재)</t>
    <phoneticPr fontId="2" type="noConversion"/>
  </si>
  <si>
    <t>음료 (남상민, 김민재)</t>
    <phoneticPr fontId="2" type="noConversion"/>
  </si>
  <si>
    <t>텔콘 출장 중식 (남상민, 김민재)</t>
    <phoneticPr fontId="2" type="noConversion"/>
  </si>
  <si>
    <t>주유비</t>
    <phoneticPr fontId="2" type="noConversion"/>
  </si>
  <si>
    <t>간식 (남상민, 김민재)</t>
    <phoneticPr fontId="2" type="noConversion"/>
  </si>
  <si>
    <t>야근 석식 (남상민, 김민재)</t>
    <phoneticPr fontId="2" type="noConversion"/>
  </si>
  <si>
    <t>LG 엔솔 출장 숙박</t>
    <phoneticPr fontId="2" type="noConversion"/>
  </si>
  <si>
    <t>간식 (남상민)</t>
    <phoneticPr fontId="2" type="noConversion"/>
  </si>
  <si>
    <t>RGB케이블</t>
    <phoneticPr fontId="2" type="noConversion"/>
  </si>
  <si>
    <t>Mini HDMI to VGA 컨버터</t>
    <phoneticPr fontId="2" type="noConversion"/>
  </si>
  <si>
    <t>입장료</t>
    <phoneticPr fontId="2" type="noConversion"/>
  </si>
  <si>
    <t>제약 박람회 입장료</t>
    <phoneticPr fontId="2" type="noConversion"/>
  </si>
  <si>
    <t>아이폰 충전 케이블 (권영태)</t>
    <phoneticPr fontId="2" type="noConversion"/>
  </si>
  <si>
    <t>중식 식대 (권영태, 남상민, 권나영)</t>
    <phoneticPr fontId="2" type="noConversion"/>
  </si>
  <si>
    <t>LG엔솔 공구 구입</t>
    <phoneticPr fontId="2" type="noConversion"/>
  </si>
  <si>
    <t>렌터카 주유</t>
    <phoneticPr fontId="2" type="noConversion"/>
  </si>
  <si>
    <t>LG 엔솔 모니터 연결용 멀티탭</t>
    <phoneticPr fontId="2" type="noConversion"/>
  </si>
  <si>
    <t>LG 엔솔 VGA 케이블</t>
    <phoneticPr fontId="2" type="noConversion"/>
  </si>
  <si>
    <t>톨게이트 비용 (홀랜드 - 시카고)</t>
    <phoneticPr fontId="2" type="noConversion"/>
  </si>
  <si>
    <t>LG 엔솔 출장 석식 (Tom Park, 박선호, 정준영, 남상민)</t>
    <phoneticPr fontId="2" type="noConversion"/>
  </si>
  <si>
    <t>렌터카 주유비</t>
    <phoneticPr fontId="2" type="noConversion"/>
  </si>
  <si>
    <t>렌터카 현장결제비용</t>
    <phoneticPr fontId="2" type="noConversion"/>
  </si>
  <si>
    <t>법인차량 주유 (8712)</t>
    <phoneticPr fontId="2" type="noConversion"/>
  </si>
  <si>
    <t>태블릿 북커버 (권영태)</t>
    <phoneticPr fontId="2" type="noConversion"/>
  </si>
  <si>
    <t>출장 중식 (남상민, 김민재)</t>
    <phoneticPr fontId="2" type="noConversion"/>
  </si>
  <si>
    <t>간식 (권영태, 남상민, 김민재, 권나영)</t>
    <phoneticPr fontId="2" type="noConversion"/>
  </si>
  <si>
    <t>비품</t>
    <phoneticPr fontId="2" type="noConversion"/>
  </si>
  <si>
    <t>라오스 출장 준비(M.2 복제기 구입)</t>
    <phoneticPr fontId="2" type="noConversion"/>
  </si>
  <si>
    <t>라오스 출장 준비(M.2 케이스 구입)</t>
    <phoneticPr fontId="2" type="noConversion"/>
  </si>
  <si>
    <t>텔콘 출장 주유비</t>
    <phoneticPr fontId="2" type="noConversion"/>
  </si>
  <si>
    <t>중식 (남상민, 김민재, 권나영)</t>
    <phoneticPr fontId="2" type="noConversion"/>
  </si>
  <si>
    <t>라오스 출장 준비 (스토리지 연결 케이블 구매)</t>
    <phoneticPr fontId="2" type="noConversion"/>
  </si>
  <si>
    <t>라오스 출장 석식 (남상민)</t>
    <phoneticPr fontId="2" type="noConversion"/>
  </si>
  <si>
    <t>수하물 요금</t>
    <phoneticPr fontId="2" type="noConversion"/>
  </si>
  <si>
    <t>라오스 출장 컨트롤러 수하물 추가비용</t>
    <phoneticPr fontId="2" type="noConversion"/>
  </si>
  <si>
    <t>주말 출근 중식 (남상민, 김민재)</t>
    <phoneticPr fontId="2" type="noConversion"/>
  </si>
  <si>
    <t>LG 엔솔 출장 톨게이트 추가 비용</t>
    <phoneticPr fontId="2" type="noConversion"/>
  </si>
  <si>
    <t>커피 (남상민, 김민재)</t>
    <phoneticPr fontId="2" type="noConversion"/>
  </si>
  <si>
    <t>사무실 간식</t>
    <phoneticPr fontId="2" type="noConversion"/>
  </si>
  <si>
    <t>문서 PDF 수정 출력 (권영태)</t>
    <phoneticPr fontId="2" type="noConversion"/>
  </si>
  <si>
    <t>중식 (권영태, 남상민, 김민재, 권나영)</t>
    <phoneticPr fontId="2" type="noConversion"/>
  </si>
  <si>
    <t>국수나무당산SK점</t>
  </si>
  <si>
    <t>PDF 편집기 이용료</t>
    <phoneticPr fontId="2" type="noConversion"/>
  </si>
  <si>
    <t>PDFE.COM* 4327859</t>
  </si>
  <si>
    <t>출장 중식 식대(남상민)</t>
    <phoneticPr fontId="2" type="noConversion"/>
  </si>
  <si>
    <t>오산휴게소 과천 우림개발㈜</t>
  </si>
  <si>
    <t>PDF 편집기 이용료(12월분 환불)</t>
    <phoneticPr fontId="2" type="noConversion"/>
  </si>
  <si>
    <t>PDF 편집기 이용료(1월분 환불)</t>
    <phoneticPr fontId="2" type="noConversion"/>
  </si>
  <si>
    <t>중식 식대 (남상민)</t>
    <phoneticPr fontId="2" type="noConversion"/>
  </si>
  <si>
    <t>영업비</t>
    <phoneticPr fontId="2" type="noConversion"/>
  </si>
  <si>
    <t>주류 구입</t>
    <phoneticPr fontId="2" type="noConversion"/>
  </si>
  <si>
    <t>CHINA DUTY FREE GROUP</t>
  </si>
  <si>
    <t>장터해장국</t>
  </si>
  <si>
    <t>지급수수료</t>
    <phoneticPr fontId="2" type="noConversion"/>
  </si>
  <si>
    <t>구인공고 등록비용</t>
    <phoneticPr fontId="2" type="noConversion"/>
  </si>
  <si>
    <t>잡코리아(유)_(주)이니시스(쇼핑</t>
  </si>
  <si>
    <t>24시감자탕</t>
  </si>
  <si>
    <t>서초동 미팅</t>
    <phoneticPr fontId="2" type="noConversion"/>
  </si>
  <si>
    <t>(주)케이엠파크 서초현대주차장</t>
  </si>
  <si>
    <t>직원 PC 구입 (최정연 과장)</t>
    <phoneticPr fontId="2" type="noConversion"/>
  </si>
  <si>
    <t>쿠팡(쿠페이)_엔에이치엔케이씨</t>
  </si>
  <si>
    <t>운임비</t>
    <phoneticPr fontId="2" type="noConversion"/>
  </si>
  <si>
    <t>텔콘알에프제약 공증 서류 수령</t>
    <phoneticPr fontId="2" type="noConversion"/>
  </si>
  <si>
    <t>케이이엑스익스프레스코리아_KSN</t>
  </si>
  <si>
    <t>MICROSOFT-G131500749</t>
  </si>
  <si>
    <t>비티엠 본사</t>
    <phoneticPr fontId="2" type="noConversion"/>
  </si>
  <si>
    <t>에이스하이테크시티운영위원회</t>
  </si>
  <si>
    <t>회사의류 구입 (조규대, 최정연, 황지원)</t>
    <phoneticPr fontId="2" type="noConversion"/>
  </si>
  <si>
    <t>네이버페이</t>
  </si>
  <si>
    <t>야근 석식 (권영태, 남상민, 김민재, 권나영)</t>
    <phoneticPr fontId="2" type="noConversion"/>
  </si>
  <si>
    <t>쿠팡이츠_나이스정보통신</t>
  </si>
  <si>
    <t>모니터 케이블, 노트북 거치대</t>
    <phoneticPr fontId="2" type="noConversion"/>
  </si>
  <si>
    <t>쿠팡(쿠페이)_쿠팡(쿠페이)_KICC</t>
  </si>
  <si>
    <t>중식 (남상민, 김민재, 황지원)</t>
    <phoneticPr fontId="2" type="noConversion"/>
  </si>
  <si>
    <t>마초야 위례점</t>
  </si>
  <si>
    <t>성원애드피아 작업 주차비</t>
    <phoneticPr fontId="2" type="noConversion"/>
  </si>
  <si>
    <t>아이파킹 주식회사_엔에이치엔케</t>
  </si>
  <si>
    <t>휴바이오켐 MS Office 구독</t>
    <phoneticPr fontId="2" type="noConversion"/>
  </si>
  <si>
    <t>MICROSOFT-G131995458</t>
  </si>
  <si>
    <t>개인지출</t>
    <phoneticPr fontId="2" type="noConversion"/>
  </si>
  <si>
    <t>직원 오사용분</t>
    <phoneticPr fontId="2" type="noConversion"/>
  </si>
  <si>
    <t>회사 단체복 구입 (조규대, 최정연, 황지원)</t>
    <phoneticPr fontId="2" type="noConversion"/>
  </si>
  <si>
    <t>스마일페이_G마켓</t>
  </si>
  <si>
    <t>중식 (남상민, 최정연, 김민재, 황지원)</t>
    <phoneticPr fontId="2" type="noConversion"/>
  </si>
  <si>
    <t>쿠팡이츠_쿠팡이츠_KICC</t>
  </si>
  <si>
    <t>포익스프레스</t>
  </si>
  <si>
    <t>간식 (권영태, 남상민, 김민재, 황지원)</t>
    <phoneticPr fontId="2" type="noConversion"/>
  </si>
  <si>
    <t>중식 (남상민, 최정연, 황지원)</t>
    <phoneticPr fontId="2" type="noConversion"/>
  </si>
  <si>
    <t>북촌순두부&amp;보쌈</t>
  </si>
  <si>
    <t>(주)인앤아웃충주지점(충주</t>
  </si>
  <si>
    <t>(주)서원 여주(인천)휴게소</t>
  </si>
  <si>
    <t>소프트웨어 구매</t>
  </si>
  <si>
    <t>MICROSOFT#G137109008</t>
  </si>
  <si>
    <t>월하정</t>
  </si>
  <si>
    <t>중식(남상민, 최정연, 김민재, 황지원)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</si>
</sst>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 x14ac:knownFonts="1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5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shrinkToFit="1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176" fontId="5" fillId="3" borderId="10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/>
    </xf>
    <xf numFmtId="176" fontId="5" fillId="3" borderId="10" xfId="0" applyNumberFormat="1" applyFont="1" applyFill="1" applyBorder="1">
      <alignment vertical="center"/>
    </xf>
    <xf numFmtId="176" fontId="5" fillId="3" borderId="10" xfId="0" applyNumberFormat="1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 shrinkToFit="1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shrinkToFit="1"/>
    </xf>
    <xf numFmtId="176" fontId="6" fillId="0" borderId="10" xfId="1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/>
    </xf>
    <xf numFmtId="49" fontId="6" fillId="0" borderId="10" xfId="1" applyNumberFormat="1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49" fontId="8" fillId="0" borderId="10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/>
    </xf>
    <xf numFmtId="49" fontId="8" fillId="0" borderId="10" xfId="1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shrinkToFit="1"/>
    </xf>
    <xf numFmtId="49" fontId="6" fillId="0" borderId="10" xfId="0" applyNumberFormat="1" applyFont="1" applyBorder="1" applyAlignment="1">
      <alignment horizontal="center" vertical="center" shrinkToFit="1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shrinkToFit="1"/>
    </xf>
    <xf numFmtId="0" fontId="0" fillId="0" borderId="10" xfId="0" applyBorder="1" applyAlignment="1">
      <alignment horizontal="center" vertical="center"/>
    </xf>
  </cellXfs>
  <cellStyles count="2">
    <cellStyle name="표준" xfId="0" builtinId="0"/>
    <cellStyle name="표준 3" xfId="1" xr:uid="{FD1A742E-7C01-48F7-B620-8941C192C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48277;&#51064;&#52852;&#46300;\&#55092;&#48148;&#51060;&#50724;&#53008;_&#48277;&#51064;&#52852;&#46300;\&#48277;&#51064;&#52852;&#46300;&#49324;&#50857;&#45236;&#50669;-(&#45224;&#49345;&#48124;).xlsx" TargetMode="External"/><Relationship Id="rId1" Type="http://schemas.openxmlformats.org/officeDocument/2006/relationships/externalLinkPath" Target="file:///Z:\&#48277;&#51064;&#52852;&#46300;\&#55092;&#48148;&#51060;&#50724;&#53008;_&#48277;&#51064;&#52852;&#46300;\&#48277;&#51064;&#52852;&#46300;&#49324;&#50857;&#45236;&#50669;-(&#45224;&#49345;&#4812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이용내역조회"/>
      <sheetName val="법인카드"/>
      <sheetName val="개인카드-차량운행"/>
      <sheetName val="개인카드-교통비"/>
      <sheetName val="법인카드_증빙철(영수증부착)"/>
      <sheetName val="개인카드_증빙철(영수증부착) "/>
    </sheetNames>
    <sheetDataSet>
      <sheetData sheetId="0">
        <row r="2">
          <cell r="B2" t="str">
            <v>2025.12.02</v>
          </cell>
          <cell r="K2">
            <v>38600</v>
          </cell>
        </row>
        <row r="3">
          <cell r="B3" t="str">
            <v>2025.12.02</v>
          </cell>
          <cell r="K3">
            <v>84160</v>
          </cell>
        </row>
        <row r="4">
          <cell r="B4" t="str">
            <v>2025.12.04</v>
          </cell>
          <cell r="K4">
            <v>11500</v>
          </cell>
        </row>
        <row r="5">
          <cell r="B5" t="str">
            <v>2025.12.04</v>
          </cell>
          <cell r="K5">
            <v>84160</v>
          </cell>
        </row>
        <row r="6">
          <cell r="B6" t="str">
            <v>2025.12.04</v>
          </cell>
          <cell r="K6">
            <v>84314</v>
          </cell>
        </row>
        <row r="7">
          <cell r="B7" t="str">
            <v>2025.12.05</v>
          </cell>
          <cell r="K7">
            <v>10500</v>
          </cell>
        </row>
        <row r="8">
          <cell r="B8" t="str">
            <v>2025.12.12</v>
          </cell>
          <cell r="K8">
            <v>554927</v>
          </cell>
        </row>
        <row r="9">
          <cell r="B9" t="str">
            <v>2025.12.15</v>
          </cell>
          <cell r="K9">
            <v>20400</v>
          </cell>
        </row>
        <row r="10">
          <cell r="B10" t="str">
            <v>2025.12.16</v>
          </cell>
          <cell r="K10">
            <v>21000</v>
          </cell>
        </row>
        <row r="11">
          <cell r="B11" t="str">
            <v>2025.12.17</v>
          </cell>
          <cell r="K11">
            <v>19800</v>
          </cell>
        </row>
        <row r="12">
          <cell r="B12" t="str">
            <v>2025.12.17</v>
          </cell>
          <cell r="K12">
            <v>330000</v>
          </cell>
        </row>
        <row r="13">
          <cell r="B13" t="str">
            <v>2025.12.19</v>
          </cell>
          <cell r="K13">
            <v>9000</v>
          </cell>
        </row>
        <row r="14">
          <cell r="B14" t="str">
            <v>2025.12.23</v>
          </cell>
          <cell r="K14">
            <v>25000</v>
          </cell>
        </row>
        <row r="15">
          <cell r="B15" t="str">
            <v>2025.12.24</v>
          </cell>
          <cell r="K15">
            <v>1327000</v>
          </cell>
        </row>
        <row r="16">
          <cell r="B16" t="str">
            <v>2025.12.26</v>
          </cell>
          <cell r="K16">
            <v>34340</v>
          </cell>
        </row>
        <row r="17">
          <cell r="B17" t="str">
            <v>2025.12.26</v>
          </cell>
          <cell r="K17">
            <v>19894</v>
          </cell>
        </row>
        <row r="18">
          <cell r="B18" t="str">
            <v>2025.12.29</v>
          </cell>
          <cell r="K18">
            <v>1000</v>
          </cell>
        </row>
        <row r="19">
          <cell r="B19" t="str">
            <v>2025.12.29</v>
          </cell>
          <cell r="K19">
            <v>417000</v>
          </cell>
        </row>
        <row r="20">
          <cell r="B20" t="str">
            <v>2025.12.29</v>
          </cell>
          <cell r="K20">
            <v>51000</v>
          </cell>
        </row>
        <row r="21">
          <cell r="B21" t="str">
            <v>2025.12.29</v>
          </cell>
          <cell r="K21">
            <v>29450</v>
          </cell>
        </row>
        <row r="22">
          <cell r="B22" t="str">
            <v>2025.12.30</v>
          </cell>
          <cell r="K22">
            <v>28000</v>
          </cell>
        </row>
        <row r="23">
          <cell r="B23" t="str">
            <v>2026.01.02</v>
          </cell>
          <cell r="K23">
            <v>30500</v>
          </cell>
        </row>
        <row r="24">
          <cell r="B24" t="str">
            <v>2026.01.02</v>
          </cell>
          <cell r="K24">
            <v>4500</v>
          </cell>
        </row>
        <row r="25">
          <cell r="B25" t="str">
            <v>2026.01.02</v>
          </cell>
          <cell r="K25">
            <v>156293</v>
          </cell>
        </row>
        <row r="26">
          <cell r="B26" t="str">
            <v>2026.01.04</v>
          </cell>
          <cell r="K26">
            <v>20000</v>
          </cell>
        </row>
        <row r="27">
          <cell r="B27" t="str">
            <v>2026.01.05</v>
          </cell>
          <cell r="K27">
            <v>406500</v>
          </cell>
        </row>
        <row r="28">
          <cell r="B28" t="str">
            <v>2026.01.06</v>
          </cell>
          <cell r="K28">
            <v>45800</v>
          </cell>
        </row>
        <row r="29">
          <cell r="B29" t="str">
            <v>2026.01.06</v>
          </cell>
          <cell r="K29">
            <v>16186</v>
          </cell>
        </row>
        <row r="30">
          <cell r="B30" t="str">
            <v>2026.01.07</v>
          </cell>
          <cell r="K30">
            <v>34500</v>
          </cell>
        </row>
        <row r="31">
          <cell r="B31" t="str">
            <v>2026.01.07</v>
          </cell>
          <cell r="K31">
            <v>23000</v>
          </cell>
        </row>
        <row r="32">
          <cell r="B32" t="str">
            <v>2026.01.07</v>
          </cell>
          <cell r="K32">
            <v>29800</v>
          </cell>
        </row>
        <row r="33">
          <cell r="B33" t="str">
            <v>2026.01.12</v>
          </cell>
          <cell r="K33">
            <v>34000</v>
          </cell>
        </row>
        <row r="34">
          <cell r="B34" t="str">
            <v>2026.01.13</v>
          </cell>
          <cell r="K34">
            <v>31700</v>
          </cell>
        </row>
        <row r="35">
          <cell r="B35" t="str">
            <v>2026.01.13</v>
          </cell>
          <cell r="K35">
            <v>22000</v>
          </cell>
        </row>
        <row r="36">
          <cell r="B36" t="str">
            <v>2026.01.15</v>
          </cell>
          <cell r="K36">
            <v>48000</v>
          </cell>
        </row>
        <row r="37">
          <cell r="B37" t="str">
            <v>2026.01.16</v>
          </cell>
          <cell r="K37">
            <v>37800</v>
          </cell>
        </row>
        <row r="38">
          <cell r="B38" t="str">
            <v>2026.01.20</v>
          </cell>
          <cell r="K38">
            <v>37000</v>
          </cell>
        </row>
        <row r="39">
          <cell r="B39" t="str">
            <v>2026.01.21</v>
          </cell>
          <cell r="K39">
            <v>11600</v>
          </cell>
        </row>
        <row r="40">
          <cell r="B40" t="str">
            <v>2026.01.21</v>
          </cell>
          <cell r="K40">
            <v>10500</v>
          </cell>
        </row>
        <row r="41">
          <cell r="B41" t="str">
            <v>2026.01.22</v>
          </cell>
          <cell r="K41">
            <v>20500</v>
          </cell>
        </row>
        <row r="42">
          <cell r="B42" t="str">
            <v>2026.01.26</v>
          </cell>
          <cell r="K42">
            <v>19719</v>
          </cell>
        </row>
        <row r="43">
          <cell r="B43" t="str">
            <v>2026.01.27</v>
          </cell>
          <cell r="K43">
            <v>20000</v>
          </cell>
        </row>
        <row r="44">
          <cell r="B44" t="str">
            <v>2026.01.28</v>
          </cell>
          <cell r="K44">
            <v>44000</v>
          </cell>
        </row>
        <row r="45">
          <cell r="B45" t="str">
            <v>2026.02.01</v>
          </cell>
          <cell r="H45" t="str">
            <v>쿠팡(쿠페이)_엔에이치엔케이씨</v>
          </cell>
          <cell r="K45">
            <v>25900</v>
          </cell>
        </row>
        <row r="46">
          <cell r="B46" t="str">
            <v>2026.02.01</v>
          </cell>
          <cell r="H46" t="str">
            <v>네이버페이</v>
          </cell>
          <cell r="K46">
            <v>599000</v>
          </cell>
        </row>
        <row r="47">
          <cell r="B47" t="str">
            <v>2026.02.01</v>
          </cell>
          <cell r="H47" t="str">
            <v>쿠팡(쿠페이)_쿠팡(쿠페이)_KICC</v>
          </cell>
          <cell r="K47">
            <v>131970</v>
          </cell>
        </row>
        <row r="48">
          <cell r="B48" t="str">
            <v>2026.02.02</v>
          </cell>
          <cell r="H48" t="str">
            <v>티로아</v>
          </cell>
          <cell r="K48">
            <v>48300</v>
          </cell>
        </row>
        <row r="49">
          <cell r="B49" t="str">
            <v>2026.02.03</v>
          </cell>
          <cell r="H49" t="str">
            <v>쿠팡(쿠페이)_엔에이치엔케이씨</v>
          </cell>
          <cell r="K49">
            <v>8900</v>
          </cell>
        </row>
        <row r="50">
          <cell r="B50" t="str">
            <v>2026.02.04</v>
          </cell>
          <cell r="H50" t="str">
            <v>쌀쌀맞은닭문래점</v>
          </cell>
          <cell r="K50">
            <v>32000</v>
          </cell>
        </row>
        <row r="51">
          <cell r="B51" t="str">
            <v>2026.02.05</v>
          </cell>
          <cell r="H51" t="str">
            <v>월하정</v>
          </cell>
          <cell r="K51">
            <v>20000</v>
          </cell>
        </row>
        <row r="52">
          <cell r="B52" t="str">
            <v>2026.02.06</v>
          </cell>
          <cell r="H52" t="str">
            <v>(사)국제라이온스협회354-A</v>
          </cell>
          <cell r="K52">
            <v>7000</v>
          </cell>
        </row>
        <row r="53">
          <cell r="B53" t="str">
            <v>2026.02.08</v>
          </cell>
          <cell r="H53" t="str">
            <v>OPENAI *CHATGPT SUBSCR</v>
          </cell>
          <cell r="K53">
            <v>246408</v>
          </cell>
        </row>
        <row r="54">
          <cell r="B54" t="str">
            <v>2026.02.09</v>
          </cell>
          <cell r="H54" t="str">
            <v>충주(상)휴게소 ㈜부자</v>
          </cell>
          <cell r="K54">
            <v>10000</v>
          </cell>
        </row>
        <row r="55">
          <cell r="B55" t="str">
            <v>2026.02.10</v>
          </cell>
          <cell r="H55" t="str">
            <v>가락곰칼국수_키오스크(2)_코페</v>
          </cell>
          <cell r="K55">
            <v>21500</v>
          </cell>
        </row>
        <row r="56">
          <cell r="B56" t="str">
            <v>2026.02.13</v>
          </cell>
          <cell r="H56" t="str">
            <v>월하정</v>
          </cell>
          <cell r="K56">
            <v>40000</v>
          </cell>
        </row>
        <row r="57">
          <cell r="B57" t="str">
            <v>2026.02.13</v>
          </cell>
          <cell r="H57" t="str">
            <v>강창구찹쌀진순대 영등포에이스</v>
          </cell>
          <cell r="K57">
            <v>22000</v>
          </cell>
        </row>
        <row r="58">
          <cell r="B58" t="str">
            <v>2026.02.19</v>
          </cell>
          <cell r="H58" t="str">
            <v>가락곰칼국수_키오스크(2)_코페</v>
          </cell>
          <cell r="K58">
            <v>39500</v>
          </cell>
        </row>
        <row r="59">
          <cell r="B59" t="str">
            <v>2026.02.19</v>
          </cell>
          <cell r="H59" t="str">
            <v>주식회사 카카오모빌리티_카카오</v>
          </cell>
          <cell r="K59">
            <v>42000</v>
          </cell>
        </row>
        <row r="60">
          <cell r="B60" t="str">
            <v>2026.02.20</v>
          </cell>
          <cell r="H60" t="str">
            <v>밥샵</v>
          </cell>
          <cell r="K60">
            <v>30000</v>
          </cell>
        </row>
        <row r="61">
          <cell r="B61" t="str">
            <v>2026.02.22</v>
          </cell>
          <cell r="H61" t="str">
            <v>일품양평해장국 뚝섬역점</v>
          </cell>
          <cell r="K61">
            <v>23000</v>
          </cell>
        </row>
        <row r="62">
          <cell r="H62" t="str">
            <v>주식회사 카카오모빌리티_카카오</v>
          </cell>
          <cell r="K62">
            <v>21000</v>
          </cell>
        </row>
        <row r="63">
          <cell r="H63" t="str">
            <v>마이우</v>
          </cell>
          <cell r="K63">
            <v>40000</v>
          </cell>
        </row>
        <row r="64">
          <cell r="H64" t="str">
            <v>놀부부대찌개철판구이</v>
          </cell>
          <cell r="K64">
            <v>47500</v>
          </cell>
        </row>
        <row r="65">
          <cell r="H65" t="str">
            <v>쿠팡(쿠페이)_엔에이치엔케이씨</v>
          </cell>
          <cell r="K65">
            <v>49210</v>
          </cell>
        </row>
        <row r="66">
          <cell r="H66" t="str">
            <v>쿠팡이츠_쿠팡이츠_KICC</v>
          </cell>
          <cell r="K66">
            <v>41200</v>
          </cell>
        </row>
        <row r="67">
          <cell r="H67" t="str">
            <v>MICROSOFT-G142979527</v>
          </cell>
          <cell r="K67">
            <v>19907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7FCD-94DA-442B-9DE6-CC9C0EABC60C}">
  <sheetPr>
    <tabColor rgb="FFFF0000"/>
    <pageSetUpPr fitToPage="1"/>
  </sheetPr>
  <dimension ref="A1:T241"/>
  <sheetViews>
    <sheetView showGridLines="0" tabSelected="1" topLeftCell="A7" zoomScale="85" zoomScaleNormal="85" zoomScaleSheetLayoutView="85" workbookViewId="0">
      <selection activeCell="L149" sqref="L149"/>
    </sheetView>
  </sheetViews>
  <sheetFormatPr defaultRowHeight="17.399999999999999" x14ac:dyDescent="0.4"/>
  <cols>
    <col min="1" max="1" width="5.3984375" customWidth="1"/>
    <col min="2" max="2" width="5.59765625" customWidth="1"/>
    <col min="5" max="5" width="12.8984375" bestFit="1" customWidth="1"/>
    <col min="6" max="6" width="9.8984375" bestFit="1" customWidth="1"/>
    <col min="7" max="9" width="9.09765625" bestFit="1" customWidth="1"/>
    <col min="10" max="11" width="8.796875" style="2"/>
    <col min="12" max="12" width="38.3984375" style="4" customWidth="1"/>
    <col min="13" max="13" width="29.59765625" style="2" bestFit="1" customWidth="1"/>
    <col min="14" max="15" width="12.59765625" customWidth="1"/>
  </cols>
  <sheetData>
    <row r="1" spans="1:9" x14ac:dyDescent="0.4">
      <c r="A1" s="1" t="s">
        <v>0</v>
      </c>
      <c r="B1" s="1"/>
    </row>
    <row r="2" spans="1:9" x14ac:dyDescent="0.4">
      <c r="A2" s="3" t="s">
        <v>1</v>
      </c>
      <c r="B2" s="3"/>
    </row>
    <row r="3" spans="1:9" x14ac:dyDescent="0.4">
      <c r="A3" s="3" t="s">
        <v>2</v>
      </c>
      <c r="B3" s="3"/>
    </row>
    <row r="4" spans="1:9" x14ac:dyDescent="0.4">
      <c r="A4" s="1" t="s">
        <v>3</v>
      </c>
      <c r="B4" s="1"/>
    </row>
    <row r="5" spans="1:9" x14ac:dyDescent="0.4">
      <c r="A5" s="3" t="s">
        <v>4</v>
      </c>
      <c r="B5" s="3"/>
    </row>
    <row r="6" spans="1:9" x14ac:dyDescent="0.4">
      <c r="A6" s="1" t="s">
        <v>5</v>
      </c>
      <c r="B6" s="1"/>
    </row>
    <row r="7" spans="1:9" x14ac:dyDescent="0.4">
      <c r="A7" s="3" t="s">
        <v>6</v>
      </c>
      <c r="B7" s="3"/>
    </row>
    <row r="8" spans="1:9" x14ac:dyDescent="0.4">
      <c r="A8" s="1" t="s">
        <v>7</v>
      </c>
      <c r="B8" s="1"/>
    </row>
    <row r="9" spans="1:9" x14ac:dyDescent="0.4">
      <c r="A9" s="3" t="s">
        <v>8</v>
      </c>
      <c r="B9" s="3"/>
    </row>
    <row r="10" spans="1:9" x14ac:dyDescent="0.4">
      <c r="A10" s="1" t="s">
        <v>9</v>
      </c>
      <c r="B10" s="3"/>
    </row>
    <row r="11" spans="1:9" x14ac:dyDescent="0.4">
      <c r="A11" s="3" t="s">
        <v>10</v>
      </c>
      <c r="B11" s="3"/>
    </row>
    <row r="12" spans="1:9" x14ac:dyDescent="0.4">
      <c r="A12" s="3" t="s">
        <v>11</v>
      </c>
      <c r="B12" s="3"/>
    </row>
    <row r="13" spans="1:9" x14ac:dyDescent="0.4">
      <c r="A13" s="1" t="s">
        <v>12</v>
      </c>
      <c r="B13" s="3"/>
    </row>
    <row r="14" spans="1:9" x14ac:dyDescent="0.4">
      <c r="A14" s="3" t="s">
        <v>13</v>
      </c>
      <c r="B14" s="3"/>
    </row>
    <row r="15" spans="1:9" x14ac:dyDescent="0.4">
      <c r="A15" s="3"/>
      <c r="B15" s="3"/>
    </row>
    <row r="16" spans="1:9" x14ac:dyDescent="0.4">
      <c r="A16" s="4"/>
      <c r="B16" s="5"/>
      <c r="F16" s="6"/>
      <c r="G16" s="6"/>
      <c r="H16" s="7"/>
      <c r="I16" s="6"/>
    </row>
    <row r="17" spans="1:20" x14ac:dyDescent="0.4">
      <c r="A17" s="4"/>
      <c r="B17" s="5"/>
      <c r="F17" s="6"/>
      <c r="G17" s="6"/>
      <c r="H17" s="7"/>
      <c r="I17" s="6"/>
    </row>
    <row r="18" spans="1:20" x14ac:dyDescent="0.4">
      <c r="A18" s="4"/>
      <c r="B18" s="5"/>
      <c r="F18" s="6"/>
      <c r="G18" s="6"/>
      <c r="H18" s="7"/>
      <c r="I18" s="6"/>
    </row>
    <row r="19" spans="1:20" ht="16.649999999999999" customHeight="1" x14ac:dyDescent="0.4">
      <c r="A19" s="8" t="s">
        <v>14</v>
      </c>
      <c r="B19" s="9"/>
      <c r="C19" s="10" t="s">
        <v>15</v>
      </c>
      <c r="D19" s="10" t="s">
        <v>16</v>
      </c>
      <c r="E19" s="11" t="s">
        <v>17</v>
      </c>
      <c r="F19" s="12" t="s">
        <v>18</v>
      </c>
      <c r="G19" s="13"/>
      <c r="H19" s="13"/>
      <c r="I19" s="14"/>
      <c r="J19" s="8" t="s">
        <v>19</v>
      </c>
      <c r="K19" s="9"/>
      <c r="L19" s="11" t="s">
        <v>20</v>
      </c>
      <c r="M19" s="15" t="s">
        <v>21</v>
      </c>
      <c r="N19" s="11" t="s">
        <v>22</v>
      </c>
      <c r="O19" s="11" t="s">
        <v>23</v>
      </c>
    </row>
    <row r="20" spans="1:20" x14ac:dyDescent="0.4">
      <c r="A20" s="16"/>
      <c r="B20" s="17"/>
      <c r="C20" s="18"/>
      <c r="D20" s="18"/>
      <c r="E20" s="19"/>
      <c r="F20" s="20" t="s">
        <v>24</v>
      </c>
      <c r="G20" s="21" t="s">
        <v>25</v>
      </c>
      <c r="H20" s="22" t="s">
        <v>26</v>
      </c>
      <c r="I20" s="21" t="s">
        <v>27</v>
      </c>
      <c r="J20" s="23"/>
      <c r="K20" s="24"/>
      <c r="L20" s="19"/>
      <c r="M20" s="25"/>
      <c r="N20" s="19"/>
      <c r="O20" s="19"/>
    </row>
    <row r="21" spans="1:20" x14ac:dyDescent="0.4">
      <c r="A21" s="23"/>
      <c r="B21" s="24"/>
      <c r="C21" s="19"/>
      <c r="D21" s="19"/>
      <c r="E21" s="19"/>
      <c r="F21" s="12">
        <f>F22+H22</f>
        <v>1103898</v>
      </c>
      <c r="G21" s="13"/>
      <c r="H21" s="13"/>
      <c r="I21" s="14"/>
      <c r="J21" s="15" t="s">
        <v>21</v>
      </c>
      <c r="K21" s="15" t="s">
        <v>23</v>
      </c>
      <c r="L21" s="19"/>
      <c r="M21" s="25"/>
      <c r="N21" s="19"/>
      <c r="O21" s="19"/>
    </row>
    <row r="22" spans="1:20" x14ac:dyDescent="0.4">
      <c r="A22" s="11" t="s">
        <v>28</v>
      </c>
      <c r="B22" s="11" t="s">
        <v>29</v>
      </c>
      <c r="C22" s="19"/>
      <c r="D22" s="19"/>
      <c r="E22" s="19"/>
      <c r="F22" s="12">
        <f>F23+G23</f>
        <v>1103898</v>
      </c>
      <c r="G22" s="14"/>
      <c r="H22" s="12">
        <f>SUM(H23:I23)</f>
        <v>0</v>
      </c>
      <c r="I22" s="14"/>
      <c r="J22" s="25"/>
      <c r="K22" s="25"/>
      <c r="L22" s="19"/>
      <c r="M22" s="25"/>
      <c r="N22" s="19"/>
      <c r="O22" s="19"/>
    </row>
    <row r="23" spans="1:20" x14ac:dyDescent="0.4">
      <c r="A23" s="26"/>
      <c r="B23" s="26"/>
      <c r="C23" s="26"/>
      <c r="D23" s="26"/>
      <c r="E23" s="26"/>
      <c r="F23" s="27">
        <f>SUM(F142:F163)</f>
        <v>1103898</v>
      </c>
      <c r="G23" s="27">
        <f>SUM(G24:G53)</f>
        <v>0</v>
      </c>
      <c r="H23" s="28">
        <f>SUM(H24:H53)</f>
        <v>0</v>
      </c>
      <c r="I23" s="27">
        <f>SUM(I24:I53)</f>
        <v>0</v>
      </c>
      <c r="J23" s="29"/>
      <c r="K23" s="29"/>
      <c r="L23" s="26"/>
      <c r="M23" s="29"/>
      <c r="N23" s="26"/>
      <c r="O23" s="26"/>
    </row>
    <row r="24" spans="1:20" hidden="1" x14ac:dyDescent="0.4">
      <c r="A24" s="30" t="e">
        <f>MID(#REF!, 6, 2)</f>
        <v>#REF!</v>
      </c>
      <c r="B24" s="30" t="e">
        <f>MID(#REF!, 9, 2)</f>
        <v>#REF!</v>
      </c>
      <c r="C24" s="31" t="s">
        <v>30</v>
      </c>
      <c r="D24" s="32" t="s">
        <v>31</v>
      </c>
      <c r="E24" s="33" t="s">
        <v>32</v>
      </c>
      <c r="F24" s="34" t="e">
        <f>#REF!</f>
        <v>#REF!</v>
      </c>
      <c r="G24" s="35"/>
      <c r="H24" s="35"/>
      <c r="I24" s="35"/>
      <c r="J24" s="36"/>
      <c r="K24" s="36"/>
      <c r="L24" s="37" t="s">
        <v>33</v>
      </c>
      <c r="M24" s="38" t="s">
        <v>34</v>
      </c>
      <c r="N24" s="36"/>
      <c r="O24" s="31"/>
      <c r="T24" s="39"/>
    </row>
    <row r="25" spans="1:20" hidden="1" x14ac:dyDescent="0.4">
      <c r="A25" s="30" t="e">
        <f>MID(#REF!, 6, 2)</f>
        <v>#REF!</v>
      </c>
      <c r="B25" s="30" t="e">
        <f>MID(#REF!, 9, 2)</f>
        <v>#REF!</v>
      </c>
      <c r="C25" s="31" t="s">
        <v>30</v>
      </c>
      <c r="D25" s="32" t="s">
        <v>31</v>
      </c>
      <c r="E25" s="33" t="s">
        <v>32</v>
      </c>
      <c r="F25" s="34" t="e">
        <f>#REF!</f>
        <v>#REF!</v>
      </c>
      <c r="G25" s="35"/>
      <c r="H25" s="35"/>
      <c r="I25" s="35"/>
      <c r="J25" s="36"/>
      <c r="K25" s="36"/>
      <c r="L25" s="40" t="s">
        <v>35</v>
      </c>
      <c r="M25" s="38" t="s">
        <v>36</v>
      </c>
      <c r="N25" s="36"/>
      <c r="O25" s="31"/>
      <c r="T25" s="39"/>
    </row>
    <row r="26" spans="1:20" hidden="1" x14ac:dyDescent="0.4">
      <c r="A26" s="30" t="e">
        <f>MID(#REF!, 6, 2)</f>
        <v>#REF!</v>
      </c>
      <c r="B26" s="30" t="e">
        <f>MID(#REF!, 9, 2)</f>
        <v>#REF!</v>
      </c>
      <c r="C26" s="31" t="s">
        <v>30</v>
      </c>
      <c r="D26" s="32" t="s">
        <v>31</v>
      </c>
      <c r="E26" s="33" t="s">
        <v>37</v>
      </c>
      <c r="F26" s="34" t="e">
        <f>#REF!</f>
        <v>#REF!</v>
      </c>
      <c r="G26" s="35"/>
      <c r="H26" s="35"/>
      <c r="I26" s="35"/>
      <c r="J26" s="36"/>
      <c r="K26" s="36"/>
      <c r="L26" s="37" t="s">
        <v>38</v>
      </c>
      <c r="M26" s="38" t="s">
        <v>39</v>
      </c>
      <c r="N26" s="31"/>
      <c r="O26" s="31"/>
      <c r="T26" s="39"/>
    </row>
    <row r="27" spans="1:20" hidden="1" x14ac:dyDescent="0.4">
      <c r="A27" s="30" t="e">
        <f>MID(#REF!, 6, 2)</f>
        <v>#REF!</v>
      </c>
      <c r="B27" s="30" t="e">
        <f>MID(#REF!, 9, 2)</f>
        <v>#REF!</v>
      </c>
      <c r="C27" s="31" t="s">
        <v>30</v>
      </c>
      <c r="D27" s="32" t="s">
        <v>31</v>
      </c>
      <c r="E27" s="33" t="s">
        <v>32</v>
      </c>
      <c r="F27" s="34" t="e">
        <f>#REF!</f>
        <v>#REF!</v>
      </c>
      <c r="G27" s="35"/>
      <c r="H27" s="35"/>
      <c r="I27" s="35"/>
      <c r="J27" s="36"/>
      <c r="K27" s="36"/>
      <c r="L27" s="37" t="s">
        <v>40</v>
      </c>
      <c r="M27" s="38" t="s">
        <v>41</v>
      </c>
      <c r="N27" s="31"/>
      <c r="O27" s="31"/>
      <c r="T27" s="39"/>
    </row>
    <row r="28" spans="1:20" hidden="1" x14ac:dyDescent="0.4">
      <c r="A28" s="30" t="e">
        <f>MID(#REF!, 6, 2)</f>
        <v>#REF!</v>
      </c>
      <c r="B28" s="30" t="e">
        <f>MID(#REF!, 9, 2)</f>
        <v>#REF!</v>
      </c>
      <c r="C28" s="31" t="s">
        <v>30</v>
      </c>
      <c r="D28" s="32" t="s">
        <v>31</v>
      </c>
      <c r="E28" s="41" t="s">
        <v>37</v>
      </c>
      <c r="F28" s="34" t="e">
        <f>#REF!</f>
        <v>#REF!</v>
      </c>
      <c r="G28" s="35"/>
      <c r="H28" s="35"/>
      <c r="I28" s="35"/>
      <c r="J28" s="42"/>
      <c r="K28" s="42"/>
      <c r="L28" s="43" t="s">
        <v>42</v>
      </c>
      <c r="M28" s="38" t="s">
        <v>43</v>
      </c>
      <c r="N28" s="31"/>
      <c r="O28" s="31"/>
      <c r="T28" s="39"/>
    </row>
    <row r="29" spans="1:20" hidden="1" x14ac:dyDescent="0.4">
      <c r="A29" s="30" t="e">
        <f>MID(#REF!, 6, 2)</f>
        <v>#REF!</v>
      </c>
      <c r="B29" s="30" t="e">
        <f>MID(#REF!, 9, 2)</f>
        <v>#REF!</v>
      </c>
      <c r="C29" s="31" t="s">
        <v>30</v>
      </c>
      <c r="D29" s="32" t="s">
        <v>31</v>
      </c>
      <c r="E29" s="41" t="s">
        <v>32</v>
      </c>
      <c r="F29" s="34" t="e">
        <f>#REF!</f>
        <v>#REF!</v>
      </c>
      <c r="G29" s="35"/>
      <c r="H29" s="35"/>
      <c r="I29" s="44"/>
      <c r="J29" s="42"/>
      <c r="K29" s="42"/>
      <c r="L29" s="37" t="s">
        <v>44</v>
      </c>
      <c r="M29" s="38" t="s">
        <v>45</v>
      </c>
      <c r="N29" s="31"/>
      <c r="O29" s="31"/>
      <c r="T29" s="39"/>
    </row>
    <row r="30" spans="1:20" hidden="1" x14ac:dyDescent="0.4">
      <c r="A30" s="30" t="e">
        <f>MID(#REF!, 6, 2)</f>
        <v>#REF!</v>
      </c>
      <c r="B30" s="30" t="e">
        <f>MID(#REF!, 9, 2)</f>
        <v>#REF!</v>
      </c>
      <c r="C30" s="31" t="s">
        <v>30</v>
      </c>
      <c r="D30" s="32" t="s">
        <v>31</v>
      </c>
      <c r="E30" s="41" t="s">
        <v>46</v>
      </c>
      <c r="F30" s="34" t="e">
        <f>#REF!</f>
        <v>#REF!</v>
      </c>
      <c r="G30" s="35"/>
      <c r="H30" s="35"/>
      <c r="I30" s="44"/>
      <c r="J30" s="42"/>
      <c r="K30" s="42"/>
      <c r="L30" s="37" t="s">
        <v>47</v>
      </c>
      <c r="M30" s="45" t="s">
        <v>48</v>
      </c>
      <c r="N30" s="31"/>
      <c r="O30" s="31"/>
      <c r="T30" s="39"/>
    </row>
    <row r="31" spans="1:20" s="49" customFormat="1" hidden="1" x14ac:dyDescent="0.4">
      <c r="A31" s="30" t="e">
        <f>MID(#REF!, 6, 2)</f>
        <v>#REF!</v>
      </c>
      <c r="B31" s="30" t="e">
        <f>MID(#REF!, 9, 2)</f>
        <v>#REF!</v>
      </c>
      <c r="C31" s="31" t="s">
        <v>30</v>
      </c>
      <c r="D31" s="32" t="s">
        <v>31</v>
      </c>
      <c r="E31" s="46" t="s">
        <v>32</v>
      </c>
      <c r="F31" s="34" t="e">
        <f>#REF!</f>
        <v>#REF!</v>
      </c>
      <c r="G31" s="44"/>
      <c r="H31" s="44"/>
      <c r="I31" s="44"/>
      <c r="J31" s="42"/>
      <c r="K31" s="42"/>
      <c r="L31" s="47" t="s">
        <v>44</v>
      </c>
      <c r="M31" s="45" t="s">
        <v>49</v>
      </c>
      <c r="N31" s="48"/>
      <c r="O31" s="31"/>
      <c r="T31" s="50"/>
    </row>
    <row r="32" spans="1:20" hidden="1" x14ac:dyDescent="0.4">
      <c r="A32" s="30" t="e">
        <f>MID(#REF!, 6, 2)</f>
        <v>#REF!</v>
      </c>
      <c r="B32" s="30" t="e">
        <f>MID(#REF!, 9, 2)</f>
        <v>#REF!</v>
      </c>
      <c r="C32" s="31" t="s">
        <v>30</v>
      </c>
      <c r="D32" s="32" t="s">
        <v>31</v>
      </c>
      <c r="E32" s="41" t="s">
        <v>32</v>
      </c>
      <c r="F32" s="34" t="e">
        <f>#REF!</f>
        <v>#REF!</v>
      </c>
      <c r="G32" s="35"/>
      <c r="H32" s="35"/>
      <c r="I32" s="35"/>
      <c r="J32" s="42"/>
      <c r="K32" s="36"/>
      <c r="L32" s="37" t="s">
        <v>44</v>
      </c>
      <c r="M32" s="45" t="s">
        <v>50</v>
      </c>
      <c r="N32" s="31"/>
      <c r="O32" s="31"/>
      <c r="T32" s="39"/>
    </row>
    <row r="33" spans="1:20" hidden="1" x14ac:dyDescent="0.4">
      <c r="A33" s="30" t="e">
        <f>MID(#REF!, 6, 2)</f>
        <v>#REF!</v>
      </c>
      <c r="B33" s="30" t="e">
        <f>MID(#REF!, 9, 2)</f>
        <v>#REF!</v>
      </c>
      <c r="C33" s="31" t="s">
        <v>30</v>
      </c>
      <c r="D33" s="32" t="s">
        <v>31</v>
      </c>
      <c r="E33" s="41" t="s">
        <v>51</v>
      </c>
      <c r="F33" s="34" t="e">
        <f>#REF!</f>
        <v>#REF!</v>
      </c>
      <c r="G33" s="35"/>
      <c r="H33" s="35"/>
      <c r="I33" s="35"/>
      <c r="J33" s="42"/>
      <c r="K33" s="42"/>
      <c r="L33" s="37" t="s">
        <v>52</v>
      </c>
      <c r="M33" s="45" t="s">
        <v>53</v>
      </c>
      <c r="N33" s="31"/>
      <c r="O33" s="31"/>
      <c r="T33" s="39"/>
    </row>
    <row r="34" spans="1:20" hidden="1" x14ac:dyDescent="0.4">
      <c r="A34" s="30" t="e">
        <f>MID(#REF!, 6, 2)</f>
        <v>#REF!</v>
      </c>
      <c r="B34" s="30" t="e">
        <f>MID(#REF!, 9, 2)</f>
        <v>#REF!</v>
      </c>
      <c r="C34" s="31" t="s">
        <v>30</v>
      </c>
      <c r="D34" s="32" t="s">
        <v>31</v>
      </c>
      <c r="E34" s="41" t="s">
        <v>32</v>
      </c>
      <c r="F34" s="34" t="e">
        <f>#REF!</f>
        <v>#REF!</v>
      </c>
      <c r="G34" s="35"/>
      <c r="H34" s="35"/>
      <c r="I34" s="35"/>
      <c r="J34" s="42"/>
      <c r="K34" s="42"/>
      <c r="L34" s="37" t="s">
        <v>54</v>
      </c>
      <c r="M34" s="45" t="s">
        <v>55</v>
      </c>
      <c r="N34" s="31"/>
      <c r="O34" s="31" t="s">
        <v>56</v>
      </c>
      <c r="T34" s="39"/>
    </row>
    <row r="35" spans="1:20" hidden="1" x14ac:dyDescent="0.4">
      <c r="A35" s="30" t="e">
        <f>MID(#REF!, 6, 2)</f>
        <v>#REF!</v>
      </c>
      <c r="B35" s="30" t="e">
        <f>MID(#REF!, 9, 2)</f>
        <v>#REF!</v>
      </c>
      <c r="C35" s="31" t="s">
        <v>30</v>
      </c>
      <c r="D35" s="32" t="s">
        <v>31</v>
      </c>
      <c r="E35" s="41" t="s">
        <v>32</v>
      </c>
      <c r="F35" s="34" t="e">
        <f>#REF!</f>
        <v>#REF!</v>
      </c>
      <c r="G35" s="35"/>
      <c r="H35" s="35"/>
      <c r="I35" s="35"/>
      <c r="J35" s="36"/>
      <c r="K35" s="36"/>
      <c r="L35" s="37" t="s">
        <v>54</v>
      </c>
      <c r="M35" s="45" t="s">
        <v>55</v>
      </c>
      <c r="N35" s="31"/>
      <c r="O35" s="31" t="s">
        <v>56</v>
      </c>
      <c r="T35" s="39"/>
    </row>
    <row r="36" spans="1:20" hidden="1" x14ac:dyDescent="0.4">
      <c r="A36" s="30" t="e">
        <f>MID(#REF!, 6, 2)</f>
        <v>#REF!</v>
      </c>
      <c r="B36" s="30" t="e">
        <f>MID(#REF!, 9, 2)</f>
        <v>#REF!</v>
      </c>
      <c r="C36" s="31" t="s">
        <v>30</v>
      </c>
      <c r="D36" s="32" t="s">
        <v>31</v>
      </c>
      <c r="E36" s="41" t="s">
        <v>32</v>
      </c>
      <c r="F36" s="34" t="e">
        <f>#REF!</f>
        <v>#REF!</v>
      </c>
      <c r="G36" s="35"/>
      <c r="H36" s="35"/>
      <c r="I36" s="35"/>
      <c r="J36" s="36"/>
      <c r="K36" s="36"/>
      <c r="L36" s="37" t="s">
        <v>57</v>
      </c>
      <c r="M36" s="45" t="s">
        <v>58</v>
      </c>
      <c r="N36" s="31"/>
      <c r="O36" s="31" t="s">
        <v>56</v>
      </c>
      <c r="T36" s="39"/>
    </row>
    <row r="37" spans="1:20" hidden="1" x14ac:dyDescent="0.4">
      <c r="A37" s="30" t="e">
        <f>MID(#REF!, 6, 2)</f>
        <v>#REF!</v>
      </c>
      <c r="B37" s="30" t="e">
        <f>MID(#REF!, 9, 2)</f>
        <v>#REF!</v>
      </c>
      <c r="C37" s="31" t="s">
        <v>30</v>
      </c>
      <c r="D37" s="32" t="s">
        <v>31</v>
      </c>
      <c r="E37" s="41" t="s">
        <v>32</v>
      </c>
      <c r="F37" s="34" t="e">
        <f>#REF!</f>
        <v>#REF!</v>
      </c>
      <c r="G37" s="35"/>
      <c r="H37" s="35"/>
      <c r="I37" s="35"/>
      <c r="J37" s="36"/>
      <c r="K37" s="36"/>
      <c r="L37" s="37" t="s">
        <v>59</v>
      </c>
      <c r="M37" s="45" t="s">
        <v>60</v>
      </c>
      <c r="N37" s="31"/>
      <c r="O37" s="31" t="s">
        <v>56</v>
      </c>
      <c r="T37" s="39"/>
    </row>
    <row r="38" spans="1:20" hidden="1" x14ac:dyDescent="0.4">
      <c r="A38" s="30" t="e">
        <f>MID(#REF!, 6, 2)</f>
        <v>#REF!</v>
      </c>
      <c r="B38" s="30" t="e">
        <f>MID(#REF!, 9, 2)</f>
        <v>#REF!</v>
      </c>
      <c r="C38" s="31" t="s">
        <v>30</v>
      </c>
      <c r="D38" s="32" t="s">
        <v>31</v>
      </c>
      <c r="E38" s="33" t="s">
        <v>32</v>
      </c>
      <c r="F38" s="34" t="e">
        <f>#REF!</f>
        <v>#REF!</v>
      </c>
      <c r="G38" s="35"/>
      <c r="H38" s="35"/>
      <c r="I38" s="35"/>
      <c r="J38" s="36"/>
      <c r="K38" s="36"/>
      <c r="L38" s="37" t="s">
        <v>61</v>
      </c>
      <c r="M38" s="45" t="s">
        <v>62</v>
      </c>
      <c r="N38" s="31"/>
      <c r="O38" s="31" t="s">
        <v>56</v>
      </c>
    </row>
    <row r="39" spans="1:20" hidden="1" x14ac:dyDescent="0.4">
      <c r="A39" s="30" t="e">
        <f>MID(#REF!, 6, 2)</f>
        <v>#REF!</v>
      </c>
      <c r="B39" s="30" t="e">
        <f>MID(#REF!, 9, 2)</f>
        <v>#REF!</v>
      </c>
      <c r="C39" s="31" t="s">
        <v>30</v>
      </c>
      <c r="D39" s="32" t="s">
        <v>31</v>
      </c>
      <c r="E39" s="41" t="s">
        <v>63</v>
      </c>
      <c r="F39" s="34" t="e">
        <f>#REF!</f>
        <v>#REF!</v>
      </c>
      <c r="G39" s="35"/>
      <c r="H39" s="35"/>
      <c r="I39" s="35"/>
      <c r="J39" s="36"/>
      <c r="K39" s="36"/>
      <c r="L39" s="37" t="s">
        <v>64</v>
      </c>
      <c r="M39" s="45" t="s">
        <v>65</v>
      </c>
      <c r="N39" s="31"/>
      <c r="O39" s="31" t="s">
        <v>56</v>
      </c>
    </row>
    <row r="40" spans="1:20" hidden="1" x14ac:dyDescent="0.4">
      <c r="A40" s="30" t="e">
        <f>MID(#REF!, 6, 2)</f>
        <v>#REF!</v>
      </c>
      <c r="B40" s="30" t="e">
        <f>MID(#REF!, 9, 2)</f>
        <v>#REF!</v>
      </c>
      <c r="C40" s="31" t="s">
        <v>30</v>
      </c>
      <c r="D40" s="32" t="s">
        <v>31</v>
      </c>
      <c r="E40" s="31" t="s">
        <v>32</v>
      </c>
      <c r="F40" s="34" t="e">
        <f>#REF!</f>
        <v>#REF!</v>
      </c>
      <c r="G40" s="35"/>
      <c r="H40" s="35"/>
      <c r="I40" s="35"/>
      <c r="J40" s="36"/>
      <c r="K40" s="36"/>
      <c r="L40" s="37" t="s">
        <v>66</v>
      </c>
      <c r="M40" s="45" t="s">
        <v>67</v>
      </c>
      <c r="N40" s="31"/>
      <c r="O40" s="31" t="s">
        <v>56</v>
      </c>
    </row>
    <row r="41" spans="1:20" hidden="1" x14ac:dyDescent="0.4">
      <c r="A41" s="30" t="e">
        <f>MID(#REF!, 6, 2)</f>
        <v>#REF!</v>
      </c>
      <c r="B41" s="30" t="e">
        <f>MID(#REF!, 9, 2)</f>
        <v>#REF!</v>
      </c>
      <c r="C41" s="31" t="s">
        <v>30</v>
      </c>
      <c r="D41" s="32" t="s">
        <v>31</v>
      </c>
      <c r="E41" s="31" t="s">
        <v>32</v>
      </c>
      <c r="F41" s="34" t="e">
        <f>#REF!</f>
        <v>#REF!</v>
      </c>
      <c r="G41" s="35"/>
      <c r="H41" s="35"/>
      <c r="I41" s="35"/>
      <c r="J41" s="36"/>
      <c r="K41" s="36"/>
      <c r="L41" s="37" t="s">
        <v>68</v>
      </c>
      <c r="M41" s="45" t="s">
        <v>69</v>
      </c>
      <c r="N41" s="31"/>
      <c r="O41" s="31" t="s">
        <v>56</v>
      </c>
    </row>
    <row r="42" spans="1:20" hidden="1" x14ac:dyDescent="0.4">
      <c r="A42" s="30" t="e">
        <f>MID(#REF!, 6, 2)</f>
        <v>#REF!</v>
      </c>
      <c r="B42" s="30" t="e">
        <f>MID(#REF!, 9, 2)</f>
        <v>#REF!</v>
      </c>
      <c r="C42" s="31" t="s">
        <v>30</v>
      </c>
      <c r="D42" s="32" t="s">
        <v>31</v>
      </c>
      <c r="E42" s="31" t="s">
        <v>70</v>
      </c>
      <c r="F42" s="34" t="e">
        <f>#REF!</f>
        <v>#REF!</v>
      </c>
      <c r="G42" s="35"/>
      <c r="H42" s="35"/>
      <c r="I42" s="35"/>
      <c r="J42" s="36"/>
      <c r="K42" s="36"/>
      <c r="L42" s="43" t="s">
        <v>71</v>
      </c>
      <c r="M42" s="45" t="s">
        <v>72</v>
      </c>
      <c r="N42" s="31"/>
      <c r="O42" s="31" t="s">
        <v>56</v>
      </c>
    </row>
    <row r="43" spans="1:20" hidden="1" x14ac:dyDescent="0.4">
      <c r="A43" s="30" t="e">
        <f>MID(#REF!, 6, 2)</f>
        <v>#REF!</v>
      </c>
      <c r="B43" s="30" t="e">
        <f>MID(#REF!, 9, 2)</f>
        <v>#REF!</v>
      </c>
      <c r="C43" s="31" t="s">
        <v>30</v>
      </c>
      <c r="D43" s="32" t="s">
        <v>31</v>
      </c>
      <c r="E43" s="31" t="s">
        <v>32</v>
      </c>
      <c r="F43" s="34" t="e">
        <f>#REF!</f>
        <v>#REF!</v>
      </c>
      <c r="G43" s="35"/>
      <c r="H43" s="35"/>
      <c r="I43" s="35"/>
      <c r="J43" s="36"/>
      <c r="K43" s="36"/>
      <c r="L43" s="37" t="s">
        <v>73</v>
      </c>
      <c r="M43" s="45" t="s">
        <v>74</v>
      </c>
      <c r="N43" s="31"/>
      <c r="O43" s="31" t="s">
        <v>56</v>
      </c>
    </row>
    <row r="44" spans="1:20" hidden="1" x14ac:dyDescent="0.4">
      <c r="A44" s="30" t="e">
        <f>MID(#REF!, 6, 2)</f>
        <v>#REF!</v>
      </c>
      <c r="B44" s="30" t="e">
        <f>MID(#REF!, 9, 2)</f>
        <v>#REF!</v>
      </c>
      <c r="C44" s="31" t="s">
        <v>30</v>
      </c>
      <c r="D44" s="32" t="s">
        <v>31</v>
      </c>
      <c r="E44" s="41" t="s">
        <v>32</v>
      </c>
      <c r="F44" s="34" t="e">
        <f>#REF!</f>
        <v>#REF!</v>
      </c>
      <c r="G44" s="35"/>
      <c r="H44" s="35"/>
      <c r="I44" s="35"/>
      <c r="J44" s="36"/>
      <c r="K44" s="36"/>
      <c r="L44" s="37" t="s">
        <v>61</v>
      </c>
      <c r="M44" s="45" t="s">
        <v>75</v>
      </c>
      <c r="N44" s="31"/>
      <c r="O44" s="31" t="s">
        <v>56</v>
      </c>
    </row>
    <row r="45" spans="1:20" hidden="1" x14ac:dyDescent="0.4">
      <c r="A45" s="30" t="e">
        <f>MID(#REF!, 6, 2)</f>
        <v>#REF!</v>
      </c>
      <c r="B45" s="30" t="e">
        <f>MID(#REF!, 9, 2)</f>
        <v>#REF!</v>
      </c>
      <c r="C45" s="31" t="s">
        <v>30</v>
      </c>
      <c r="D45" s="32" t="s">
        <v>31</v>
      </c>
      <c r="E45" s="41" t="s">
        <v>32</v>
      </c>
      <c r="F45" s="34" t="e">
        <f>#REF!</f>
        <v>#REF!</v>
      </c>
      <c r="G45" s="35"/>
      <c r="H45" s="35"/>
      <c r="I45" s="35"/>
      <c r="J45" s="36"/>
      <c r="K45" s="36"/>
      <c r="L45" s="37" t="s">
        <v>73</v>
      </c>
      <c r="M45" s="45" t="s">
        <v>76</v>
      </c>
      <c r="N45" s="31"/>
      <c r="O45" s="31" t="s">
        <v>56</v>
      </c>
    </row>
    <row r="46" spans="1:20" hidden="1" x14ac:dyDescent="0.4">
      <c r="A46" s="30" t="e">
        <f>MID(#REF!, 6, 2)</f>
        <v>#REF!</v>
      </c>
      <c r="B46" s="30" t="e">
        <f>MID(#REF!, 9, 2)</f>
        <v>#REF!</v>
      </c>
      <c r="C46" s="31" t="s">
        <v>30</v>
      </c>
      <c r="D46" s="32" t="s">
        <v>31</v>
      </c>
      <c r="E46" s="41" t="s">
        <v>32</v>
      </c>
      <c r="F46" s="34" t="e">
        <f>#REF!</f>
        <v>#REF!</v>
      </c>
      <c r="G46" s="35"/>
      <c r="H46" s="35"/>
      <c r="I46" s="35"/>
      <c r="J46" s="36"/>
      <c r="K46" s="36"/>
      <c r="L46" s="37" t="s">
        <v>33</v>
      </c>
      <c r="M46" s="45" t="s">
        <v>77</v>
      </c>
      <c r="N46" s="31"/>
      <c r="O46" s="31" t="s">
        <v>56</v>
      </c>
    </row>
    <row r="47" spans="1:20" hidden="1" x14ac:dyDescent="0.4">
      <c r="A47" s="30" t="e">
        <f>MID(#REF!, 6, 2)</f>
        <v>#REF!</v>
      </c>
      <c r="B47" s="30" t="e">
        <f>MID(#REF!, 9, 2)</f>
        <v>#REF!</v>
      </c>
      <c r="C47" s="31" t="s">
        <v>30</v>
      </c>
      <c r="D47" s="32" t="s">
        <v>31</v>
      </c>
      <c r="E47" s="41" t="s">
        <v>32</v>
      </c>
      <c r="F47" s="34" t="e">
        <f>#REF!</f>
        <v>#REF!</v>
      </c>
      <c r="G47" s="35"/>
      <c r="H47" s="35"/>
      <c r="I47" s="35"/>
      <c r="J47" s="36"/>
      <c r="K47" s="36"/>
      <c r="L47" s="37" t="s">
        <v>35</v>
      </c>
      <c r="M47" s="45" t="s">
        <v>76</v>
      </c>
      <c r="N47" s="31"/>
      <c r="O47" s="31" t="s">
        <v>56</v>
      </c>
    </row>
    <row r="48" spans="1:20" hidden="1" x14ac:dyDescent="0.4">
      <c r="A48" s="30" t="e">
        <f>MID(#REF!, 6, 2)</f>
        <v>#REF!</v>
      </c>
      <c r="B48" s="30" t="e">
        <f>MID(#REF!, 9, 2)</f>
        <v>#REF!</v>
      </c>
      <c r="C48" s="31" t="s">
        <v>30</v>
      </c>
      <c r="D48" s="32" t="s">
        <v>31</v>
      </c>
      <c r="E48" s="41" t="s">
        <v>37</v>
      </c>
      <c r="F48" s="34" t="e">
        <f>#REF!</f>
        <v>#REF!</v>
      </c>
      <c r="G48" s="35"/>
      <c r="H48" s="35"/>
      <c r="I48" s="35"/>
      <c r="J48" s="36"/>
      <c r="K48" s="36"/>
      <c r="L48" s="37" t="s">
        <v>78</v>
      </c>
      <c r="M48" s="45" t="s">
        <v>79</v>
      </c>
      <c r="N48" s="31"/>
      <c r="O48" s="31" t="s">
        <v>56</v>
      </c>
    </row>
    <row r="49" spans="1:15" hidden="1" x14ac:dyDescent="0.4">
      <c r="A49" s="30" t="e">
        <f>MID(#REF!, 6, 2)</f>
        <v>#REF!</v>
      </c>
      <c r="B49" s="30" t="e">
        <f>MID(#REF!, 9, 2)</f>
        <v>#REF!</v>
      </c>
      <c r="C49" s="31" t="s">
        <v>30</v>
      </c>
      <c r="D49" s="32" t="s">
        <v>31</v>
      </c>
      <c r="E49" s="31" t="s">
        <v>37</v>
      </c>
      <c r="F49" s="34" t="e">
        <f>#REF!</f>
        <v>#REF!</v>
      </c>
      <c r="G49" s="35"/>
      <c r="H49" s="35"/>
      <c r="I49" s="35"/>
      <c r="J49" s="36"/>
      <c r="K49" s="36"/>
      <c r="L49" s="37" t="s">
        <v>80</v>
      </c>
      <c r="M49" s="51" t="s">
        <v>79</v>
      </c>
      <c r="N49" s="31"/>
      <c r="O49" s="31" t="s">
        <v>56</v>
      </c>
    </row>
    <row r="50" spans="1:15" hidden="1" x14ac:dyDescent="0.4">
      <c r="A50" s="30" t="e">
        <f>MID(#REF!, 6, 2)</f>
        <v>#REF!</v>
      </c>
      <c r="B50" s="30" t="e">
        <f>MID(#REF!, 9, 2)</f>
        <v>#REF!</v>
      </c>
      <c r="C50" s="31" t="s">
        <v>30</v>
      </c>
      <c r="D50" s="32" t="s">
        <v>31</v>
      </c>
      <c r="E50" s="31" t="s">
        <v>32</v>
      </c>
      <c r="F50" s="34" t="e">
        <f>#REF!</f>
        <v>#REF!</v>
      </c>
      <c r="G50" s="35"/>
      <c r="H50" s="35"/>
      <c r="I50" s="35"/>
      <c r="J50" s="36"/>
      <c r="K50" s="36"/>
      <c r="L50" s="37" t="s">
        <v>81</v>
      </c>
      <c r="M50" s="51" t="s">
        <v>82</v>
      </c>
      <c r="N50" s="31"/>
      <c r="O50" s="31" t="s">
        <v>56</v>
      </c>
    </row>
    <row r="51" spans="1:15" hidden="1" x14ac:dyDescent="0.4">
      <c r="A51" s="30" t="e">
        <f>MID(#REF!, 6, 2)</f>
        <v>#REF!</v>
      </c>
      <c r="B51" s="30" t="e">
        <f>MID(#REF!, 9, 2)</f>
        <v>#REF!</v>
      </c>
      <c r="C51" s="31" t="s">
        <v>30</v>
      </c>
      <c r="D51" s="32" t="s">
        <v>31</v>
      </c>
      <c r="E51" s="41" t="s">
        <v>51</v>
      </c>
      <c r="F51" s="34" t="e">
        <f>#REF!</f>
        <v>#REF!</v>
      </c>
      <c r="G51" s="35"/>
      <c r="H51" s="35"/>
      <c r="I51" s="35"/>
      <c r="J51" s="36"/>
      <c r="K51" s="36"/>
      <c r="L51" s="37" t="s">
        <v>52</v>
      </c>
      <c r="M51" s="51" t="s">
        <v>83</v>
      </c>
      <c r="N51" s="31"/>
      <c r="O51" s="31" t="s">
        <v>56</v>
      </c>
    </row>
    <row r="52" spans="1:15" hidden="1" x14ac:dyDescent="0.4">
      <c r="A52" s="30" t="e">
        <f>MID(#REF!, 6, 2)</f>
        <v>#REF!</v>
      </c>
      <c r="B52" s="30" t="e">
        <f>MID(#REF!, 9, 2)</f>
        <v>#REF!</v>
      </c>
      <c r="C52" s="31" t="s">
        <v>30</v>
      </c>
      <c r="D52" s="32" t="s">
        <v>31</v>
      </c>
      <c r="E52" s="31" t="s">
        <v>32</v>
      </c>
      <c r="F52" s="35" t="e">
        <f>#REF!</f>
        <v>#REF!</v>
      </c>
      <c r="G52" s="35"/>
      <c r="H52" s="35"/>
      <c r="I52" s="35"/>
      <c r="J52" s="36"/>
      <c r="K52" s="36"/>
      <c r="L52" s="52" t="s">
        <v>84</v>
      </c>
      <c r="M52" s="53" t="e">
        <f>#REF!</f>
        <v>#REF!</v>
      </c>
      <c r="N52" s="31"/>
      <c r="O52" s="31" t="s">
        <v>56</v>
      </c>
    </row>
    <row r="53" spans="1:15" hidden="1" x14ac:dyDescent="0.4">
      <c r="A53" s="30" t="e">
        <f>MID(#REF!, 6, 2)</f>
        <v>#REF!</v>
      </c>
      <c r="B53" s="30" t="e">
        <f>MID(#REF!, 9, 2)</f>
        <v>#REF!</v>
      </c>
      <c r="C53" s="31" t="s">
        <v>30</v>
      </c>
      <c r="D53" s="32" t="s">
        <v>31</v>
      </c>
      <c r="E53" s="41" t="s">
        <v>32</v>
      </c>
      <c r="F53" s="35" t="e">
        <f>#REF!</f>
        <v>#REF!</v>
      </c>
      <c r="G53" s="35"/>
      <c r="H53" s="35"/>
      <c r="I53" s="35"/>
      <c r="J53" s="36"/>
      <c r="K53" s="36"/>
      <c r="L53" s="31" t="s">
        <v>85</v>
      </c>
      <c r="M53" s="53" t="e">
        <f>#REF!</f>
        <v>#REF!</v>
      </c>
      <c r="N53" s="31"/>
      <c r="O53" s="31" t="s">
        <v>56</v>
      </c>
    </row>
    <row r="54" spans="1:15" hidden="1" x14ac:dyDescent="0.4">
      <c r="A54" s="30" t="e">
        <f>MID(#REF!, 6, 2)</f>
        <v>#REF!</v>
      </c>
      <c r="B54" s="30" t="e">
        <f>MID(#REF!, 9, 2)</f>
        <v>#REF!</v>
      </c>
      <c r="C54" s="31" t="s">
        <v>30</v>
      </c>
      <c r="D54" s="32" t="s">
        <v>31</v>
      </c>
      <c r="E54" s="31" t="s">
        <v>86</v>
      </c>
      <c r="F54" s="35" t="e">
        <f>#REF!</f>
        <v>#REF!</v>
      </c>
      <c r="G54" s="31"/>
      <c r="H54" s="31"/>
      <c r="I54" s="31"/>
      <c r="J54" s="36"/>
      <c r="K54" s="36"/>
      <c r="L54" s="31" t="s">
        <v>87</v>
      </c>
      <c r="M54" s="53" t="e">
        <f>#REF!</f>
        <v>#REF!</v>
      </c>
      <c r="N54" s="31"/>
      <c r="O54" s="31" t="s">
        <v>56</v>
      </c>
    </row>
    <row r="55" spans="1:15" hidden="1" x14ac:dyDescent="0.4">
      <c r="A55" s="30" t="e">
        <f>MID(#REF!, 6, 2)</f>
        <v>#REF!</v>
      </c>
      <c r="B55" s="30" t="e">
        <f>MID(#REF!, 9, 2)</f>
        <v>#REF!</v>
      </c>
      <c r="C55" s="31" t="s">
        <v>30</v>
      </c>
      <c r="D55" s="32" t="s">
        <v>31</v>
      </c>
      <c r="E55" s="31" t="s">
        <v>32</v>
      </c>
      <c r="F55" s="35" t="e">
        <f>#REF!</f>
        <v>#REF!</v>
      </c>
      <c r="G55" s="31"/>
      <c r="H55" s="31"/>
      <c r="I55" s="31"/>
      <c r="J55" s="36"/>
      <c r="K55" s="36"/>
      <c r="L55" s="31" t="s">
        <v>88</v>
      </c>
      <c r="M55" s="53" t="e">
        <f>#REF!</f>
        <v>#REF!</v>
      </c>
      <c r="N55" s="31"/>
      <c r="O55" s="31" t="s">
        <v>56</v>
      </c>
    </row>
    <row r="56" spans="1:15" hidden="1" x14ac:dyDescent="0.4">
      <c r="A56" s="30" t="e">
        <f>MID(#REF!, 6, 2)</f>
        <v>#REF!</v>
      </c>
      <c r="B56" s="30" t="e">
        <f>MID(#REF!, 9, 2)</f>
        <v>#REF!</v>
      </c>
      <c r="C56" s="31" t="s">
        <v>30</v>
      </c>
      <c r="D56" s="32" t="s">
        <v>31</v>
      </c>
      <c r="E56" s="31" t="s">
        <v>32</v>
      </c>
      <c r="F56" s="35" t="e">
        <f>#REF!</f>
        <v>#REF!</v>
      </c>
      <c r="G56" s="31"/>
      <c r="H56" s="31"/>
      <c r="I56" s="31"/>
      <c r="J56" s="36"/>
      <c r="K56" s="36"/>
      <c r="L56" s="31" t="s">
        <v>35</v>
      </c>
      <c r="M56" s="53" t="e">
        <f>#REF!</f>
        <v>#REF!</v>
      </c>
      <c r="N56" s="31"/>
      <c r="O56" s="31" t="s">
        <v>56</v>
      </c>
    </row>
    <row r="57" spans="1:15" hidden="1" x14ac:dyDescent="0.4">
      <c r="A57" s="30" t="e">
        <f>MID(#REF!, 6, 2)</f>
        <v>#REF!</v>
      </c>
      <c r="B57" s="30" t="e">
        <f>MID(#REF!, 9, 2)</f>
        <v>#REF!</v>
      </c>
      <c r="C57" s="31" t="s">
        <v>30</v>
      </c>
      <c r="D57" s="32" t="s">
        <v>31</v>
      </c>
      <c r="E57" s="31" t="s">
        <v>89</v>
      </c>
      <c r="F57" s="35" t="e">
        <f>#REF!</f>
        <v>#REF!</v>
      </c>
      <c r="G57" s="31"/>
      <c r="H57" s="31"/>
      <c r="I57" s="31"/>
      <c r="J57" s="36"/>
      <c r="K57" s="36"/>
      <c r="L57" s="31" t="s">
        <v>90</v>
      </c>
      <c r="M57" s="53" t="e">
        <f>#REF!</f>
        <v>#REF!</v>
      </c>
      <c r="N57" s="31"/>
      <c r="O57" s="31" t="s">
        <v>56</v>
      </c>
    </row>
    <row r="58" spans="1:15" hidden="1" x14ac:dyDescent="0.4">
      <c r="A58" s="30" t="e">
        <f>MID(#REF!, 6, 2)</f>
        <v>#REF!</v>
      </c>
      <c r="B58" s="30" t="e">
        <f>MID(#REF!, 9, 2)</f>
        <v>#REF!</v>
      </c>
      <c r="C58" s="31" t="s">
        <v>30</v>
      </c>
      <c r="D58" s="32" t="s">
        <v>31</v>
      </c>
      <c r="E58" s="31" t="s">
        <v>46</v>
      </c>
      <c r="F58" s="35" t="e">
        <f>#REF!</f>
        <v>#REF!</v>
      </c>
      <c r="G58" s="31"/>
      <c r="H58" s="31"/>
      <c r="I58" s="31"/>
      <c r="J58" s="36"/>
      <c r="K58" s="36"/>
      <c r="L58" s="31" t="s">
        <v>91</v>
      </c>
      <c r="M58" s="53" t="e">
        <f>#REF!</f>
        <v>#REF!</v>
      </c>
      <c r="N58" s="31"/>
      <c r="O58" s="31" t="s">
        <v>56</v>
      </c>
    </row>
    <row r="59" spans="1:15" hidden="1" x14ac:dyDescent="0.4">
      <c r="A59" s="30" t="e">
        <f>MID(#REF!, 6, 2)</f>
        <v>#REF!</v>
      </c>
      <c r="B59" s="30" t="e">
        <f>MID(#REF!, 9, 2)</f>
        <v>#REF!</v>
      </c>
      <c r="C59" s="31" t="s">
        <v>30</v>
      </c>
      <c r="D59" s="32" t="s">
        <v>31</v>
      </c>
      <c r="E59" s="31" t="s">
        <v>46</v>
      </c>
      <c r="F59" s="35" t="e">
        <f>#REF!</f>
        <v>#REF!</v>
      </c>
      <c r="G59" s="31"/>
      <c r="H59" s="31"/>
      <c r="I59" s="31"/>
      <c r="J59" s="36"/>
      <c r="K59" s="36"/>
      <c r="L59" s="31" t="s">
        <v>92</v>
      </c>
      <c r="M59" s="53" t="e">
        <f>#REF!</f>
        <v>#REF!</v>
      </c>
      <c r="N59" s="31"/>
      <c r="O59" s="31" t="s">
        <v>56</v>
      </c>
    </row>
    <row r="60" spans="1:15" hidden="1" x14ac:dyDescent="0.4">
      <c r="A60" s="30" t="e">
        <f>MID(#REF!, 6, 2)</f>
        <v>#REF!</v>
      </c>
      <c r="B60" s="30" t="e">
        <f>MID(#REF!, 9, 2)</f>
        <v>#REF!</v>
      </c>
      <c r="C60" s="31" t="s">
        <v>30</v>
      </c>
      <c r="D60" s="32" t="s">
        <v>31</v>
      </c>
      <c r="E60" s="31" t="s">
        <v>32</v>
      </c>
      <c r="F60" s="35" t="e">
        <f>#REF!</f>
        <v>#REF!</v>
      </c>
      <c r="G60" s="31"/>
      <c r="H60" s="31"/>
      <c r="I60" s="31"/>
      <c r="J60" s="36"/>
      <c r="K60" s="36"/>
      <c r="L60" s="31" t="s">
        <v>93</v>
      </c>
      <c r="M60" s="53" t="e">
        <f>#REF!</f>
        <v>#REF!</v>
      </c>
      <c r="N60" s="31"/>
      <c r="O60" s="31" t="s">
        <v>56</v>
      </c>
    </row>
    <row r="61" spans="1:15" hidden="1" x14ac:dyDescent="0.4">
      <c r="A61" s="30" t="e">
        <f>MID(#REF!, 6, 2)</f>
        <v>#REF!</v>
      </c>
      <c r="B61" s="30" t="e">
        <f>MID(#REF!, 9, 2)</f>
        <v>#REF!</v>
      </c>
      <c r="C61" s="31" t="s">
        <v>30</v>
      </c>
      <c r="D61" s="32" t="s">
        <v>31</v>
      </c>
      <c r="E61" s="31" t="s">
        <v>70</v>
      </c>
      <c r="F61" s="35" t="e">
        <f>#REF!</f>
        <v>#REF!</v>
      </c>
      <c r="G61" s="31"/>
      <c r="H61" s="31"/>
      <c r="I61" s="31"/>
      <c r="J61" s="36"/>
      <c r="K61" s="36"/>
      <c r="L61" s="31" t="s">
        <v>94</v>
      </c>
      <c r="M61" s="53" t="e">
        <f>#REF!</f>
        <v>#REF!</v>
      </c>
      <c r="N61" s="31"/>
      <c r="O61" s="31" t="s">
        <v>56</v>
      </c>
    </row>
    <row r="62" spans="1:15" hidden="1" x14ac:dyDescent="0.4">
      <c r="A62" s="30" t="e">
        <f>MID(#REF!, 6, 2)</f>
        <v>#REF!</v>
      </c>
      <c r="B62" s="30" t="e">
        <f>MID(#REF!, 9, 2)</f>
        <v>#REF!</v>
      </c>
      <c r="C62" s="31" t="s">
        <v>30</v>
      </c>
      <c r="D62" s="32" t="s">
        <v>31</v>
      </c>
      <c r="E62" s="31" t="s">
        <v>32</v>
      </c>
      <c r="F62" s="35" t="e">
        <f>#REF!</f>
        <v>#REF!</v>
      </c>
      <c r="G62" s="31"/>
      <c r="H62" s="31"/>
      <c r="I62" s="31"/>
      <c r="J62" s="36"/>
      <c r="K62" s="36"/>
      <c r="L62" s="31" t="s">
        <v>93</v>
      </c>
      <c r="M62" s="53" t="e">
        <f>#REF!</f>
        <v>#REF!</v>
      </c>
      <c r="N62" s="31"/>
      <c r="O62" s="31" t="s">
        <v>56</v>
      </c>
    </row>
    <row r="63" spans="1:15" hidden="1" x14ac:dyDescent="0.4">
      <c r="A63" s="30" t="e">
        <f>MID(#REF!, 6, 2)</f>
        <v>#REF!</v>
      </c>
      <c r="B63" s="30" t="e">
        <f>MID(#REF!, 9, 2)</f>
        <v>#REF!</v>
      </c>
      <c r="C63" s="31" t="s">
        <v>30</v>
      </c>
      <c r="D63" s="32" t="s">
        <v>31</v>
      </c>
      <c r="E63" s="31" t="s">
        <v>70</v>
      </c>
      <c r="F63" s="35" t="e">
        <f>#REF!</f>
        <v>#REF!</v>
      </c>
      <c r="G63" s="31"/>
      <c r="H63" s="31"/>
      <c r="I63" s="31"/>
      <c r="J63" s="36"/>
      <c r="K63" s="36"/>
      <c r="L63" s="31" t="s">
        <v>94</v>
      </c>
      <c r="M63" s="53" t="e">
        <f>#REF!</f>
        <v>#REF!</v>
      </c>
      <c r="N63" s="31"/>
      <c r="O63" s="31" t="s">
        <v>56</v>
      </c>
    </row>
    <row r="64" spans="1:15" hidden="1" x14ac:dyDescent="0.4">
      <c r="A64" s="30" t="e">
        <f>MID(#REF!, 6, 2)</f>
        <v>#REF!</v>
      </c>
      <c r="B64" s="30" t="e">
        <f>MID(#REF!, 9, 2)</f>
        <v>#REF!</v>
      </c>
      <c r="C64" s="31" t="s">
        <v>30</v>
      </c>
      <c r="D64" s="32" t="s">
        <v>31</v>
      </c>
      <c r="E64" s="31" t="s">
        <v>63</v>
      </c>
      <c r="F64" s="35" t="e">
        <f>#REF!</f>
        <v>#REF!</v>
      </c>
      <c r="G64" s="31"/>
      <c r="H64" s="31"/>
      <c r="I64" s="31"/>
      <c r="J64" s="36"/>
      <c r="K64" s="36"/>
      <c r="L64" s="31" t="s">
        <v>95</v>
      </c>
      <c r="M64" s="53" t="e">
        <f>#REF!</f>
        <v>#REF!</v>
      </c>
      <c r="N64" s="31"/>
      <c r="O64" s="31" t="s">
        <v>56</v>
      </c>
    </row>
    <row r="65" spans="1:15" hidden="1" x14ac:dyDescent="0.4">
      <c r="A65" s="30" t="e">
        <f>MID(#REF!, 6, 2)</f>
        <v>#REF!</v>
      </c>
      <c r="B65" s="30" t="e">
        <f>MID(#REF!, 9, 2)</f>
        <v>#REF!</v>
      </c>
      <c r="C65" s="31" t="s">
        <v>30</v>
      </c>
      <c r="D65" s="32" t="s">
        <v>31</v>
      </c>
      <c r="E65" s="31" t="s">
        <v>32</v>
      </c>
      <c r="F65" s="35" t="e">
        <f>#REF!</f>
        <v>#REF!</v>
      </c>
      <c r="G65" s="31"/>
      <c r="H65" s="31"/>
      <c r="I65" s="31"/>
      <c r="J65" s="36"/>
      <c r="K65" s="36"/>
      <c r="L65" s="31" t="s">
        <v>96</v>
      </c>
      <c r="M65" s="53" t="e">
        <f>#REF!</f>
        <v>#REF!</v>
      </c>
      <c r="N65" s="31"/>
      <c r="O65" s="31" t="s">
        <v>56</v>
      </c>
    </row>
    <row r="66" spans="1:15" hidden="1" x14ac:dyDescent="0.4">
      <c r="A66" s="30" t="e">
        <f>MID(#REF!, 6, 2)</f>
        <v>#REF!</v>
      </c>
      <c r="B66" s="30" t="e">
        <f>MID(#REF!, 9, 2)</f>
        <v>#REF!</v>
      </c>
      <c r="C66" s="31" t="s">
        <v>30</v>
      </c>
      <c r="D66" s="32" t="s">
        <v>31</v>
      </c>
      <c r="E66" s="31" t="s">
        <v>63</v>
      </c>
      <c r="F66" s="35" t="e">
        <f>#REF!</f>
        <v>#REF!</v>
      </c>
      <c r="G66" s="31"/>
      <c r="H66" s="31"/>
      <c r="I66" s="31"/>
      <c r="J66" s="36"/>
      <c r="K66" s="36"/>
      <c r="L66" s="31" t="s">
        <v>95</v>
      </c>
      <c r="M66" s="53" t="e">
        <f>#REF!</f>
        <v>#REF!</v>
      </c>
      <c r="N66" s="31"/>
      <c r="O66" s="31" t="s">
        <v>56</v>
      </c>
    </row>
    <row r="67" spans="1:15" hidden="1" x14ac:dyDescent="0.4">
      <c r="A67" s="30" t="e">
        <f>MID(#REF!, 6, 2)</f>
        <v>#REF!</v>
      </c>
      <c r="B67" s="30" t="e">
        <f>MID(#REF!, 9, 2)</f>
        <v>#REF!</v>
      </c>
      <c r="C67" s="31" t="s">
        <v>30</v>
      </c>
      <c r="D67" s="32" t="s">
        <v>31</v>
      </c>
      <c r="E67" s="31" t="s">
        <v>37</v>
      </c>
      <c r="F67" s="35" t="e">
        <f>#REF!</f>
        <v>#REF!</v>
      </c>
      <c r="G67" s="31"/>
      <c r="H67" s="31"/>
      <c r="I67" s="31"/>
      <c r="J67" s="36"/>
      <c r="K67" s="36"/>
      <c r="L67" s="31" t="s">
        <v>97</v>
      </c>
      <c r="M67" s="53" t="e">
        <f>#REF!</f>
        <v>#REF!</v>
      </c>
      <c r="N67" s="31"/>
      <c r="O67" s="31" t="s">
        <v>56</v>
      </c>
    </row>
    <row r="68" spans="1:15" hidden="1" x14ac:dyDescent="0.4">
      <c r="A68" s="30" t="e">
        <f>MID(#REF!, 6, 2)</f>
        <v>#REF!</v>
      </c>
      <c r="B68" s="30" t="e">
        <f>MID(#REF!, 9, 2)</f>
        <v>#REF!</v>
      </c>
      <c r="C68" s="31" t="s">
        <v>30</v>
      </c>
      <c r="D68" s="32" t="s">
        <v>31</v>
      </c>
      <c r="E68" s="31" t="s">
        <v>63</v>
      </c>
      <c r="F68" s="35" t="e">
        <f>#REF!</f>
        <v>#REF!</v>
      </c>
      <c r="G68" s="31"/>
      <c r="H68" s="31"/>
      <c r="I68" s="31"/>
      <c r="J68" s="36"/>
      <c r="K68" s="36"/>
      <c r="L68" s="31" t="s">
        <v>98</v>
      </c>
      <c r="M68" s="53" t="e">
        <f>#REF!</f>
        <v>#REF!</v>
      </c>
      <c r="N68" s="31"/>
      <c r="O68" s="31" t="s">
        <v>56</v>
      </c>
    </row>
    <row r="69" spans="1:15" hidden="1" x14ac:dyDescent="0.4">
      <c r="A69" s="30" t="e">
        <f>MID(#REF!, 6, 2)</f>
        <v>#REF!</v>
      </c>
      <c r="B69" s="30" t="e">
        <f>MID(#REF!, 9, 2)</f>
        <v>#REF!</v>
      </c>
      <c r="C69" s="31" t="s">
        <v>30</v>
      </c>
      <c r="D69" s="32" t="s">
        <v>31</v>
      </c>
      <c r="E69" s="31" t="s">
        <v>32</v>
      </c>
      <c r="F69" s="35" t="e">
        <f>#REF!</f>
        <v>#REF!</v>
      </c>
      <c r="G69" s="31"/>
      <c r="H69" s="31"/>
      <c r="I69" s="31"/>
      <c r="J69" s="36"/>
      <c r="K69" s="36"/>
      <c r="L69" s="31" t="s">
        <v>84</v>
      </c>
      <c r="M69" s="53" t="e">
        <f>#REF!</f>
        <v>#REF!</v>
      </c>
      <c r="N69" s="31"/>
      <c r="O69" s="31" t="s">
        <v>56</v>
      </c>
    </row>
    <row r="70" spans="1:15" hidden="1" x14ac:dyDescent="0.4">
      <c r="A70" s="30" t="e">
        <f>MID(#REF!, 6, 2)</f>
        <v>#REF!</v>
      </c>
      <c r="B70" s="30" t="e">
        <f>MID(#REF!, 9, 2)</f>
        <v>#REF!</v>
      </c>
      <c r="C70" s="31" t="s">
        <v>30</v>
      </c>
      <c r="D70" s="32" t="s">
        <v>31</v>
      </c>
      <c r="E70" s="31" t="s">
        <v>32</v>
      </c>
      <c r="F70" s="35" t="e">
        <f>#REF!</f>
        <v>#REF!</v>
      </c>
      <c r="G70" s="31"/>
      <c r="H70" s="31"/>
      <c r="I70" s="31"/>
      <c r="J70" s="36"/>
      <c r="K70" s="36"/>
      <c r="L70" s="31" t="s">
        <v>99</v>
      </c>
      <c r="M70" s="53" t="e">
        <f>#REF!</f>
        <v>#REF!</v>
      </c>
      <c r="N70" s="31"/>
      <c r="O70" s="31" t="s">
        <v>56</v>
      </c>
    </row>
    <row r="71" spans="1:15" hidden="1" x14ac:dyDescent="0.4">
      <c r="A71" s="30" t="e">
        <f>MID(#REF!, 6, 2)</f>
        <v>#REF!</v>
      </c>
      <c r="B71" s="30" t="e">
        <f>MID(#REF!, 9, 2)</f>
        <v>#REF!</v>
      </c>
      <c r="C71" s="31" t="s">
        <v>30</v>
      </c>
      <c r="D71" s="32" t="s">
        <v>31</v>
      </c>
      <c r="E71" s="31" t="s">
        <v>32</v>
      </c>
      <c r="F71" s="35" t="e">
        <f>#REF!</f>
        <v>#REF!</v>
      </c>
      <c r="G71" s="31"/>
      <c r="H71" s="31"/>
      <c r="I71" s="31"/>
      <c r="J71" s="36"/>
      <c r="K71" s="36"/>
      <c r="L71" s="31" t="s">
        <v>84</v>
      </c>
      <c r="M71" s="53" t="e">
        <f>#REF!</f>
        <v>#REF!</v>
      </c>
      <c r="N71" s="31"/>
      <c r="O71" s="31" t="s">
        <v>56</v>
      </c>
    </row>
    <row r="72" spans="1:15" hidden="1" x14ac:dyDescent="0.4">
      <c r="A72" s="30" t="e">
        <f>MID(#REF!, 6, 2)</f>
        <v>#REF!</v>
      </c>
      <c r="B72" s="30" t="e">
        <f>MID(#REF!, 9, 2)</f>
        <v>#REF!</v>
      </c>
      <c r="C72" s="31" t="s">
        <v>30</v>
      </c>
      <c r="D72" s="32" t="s">
        <v>31</v>
      </c>
      <c r="E72" s="31" t="s">
        <v>32</v>
      </c>
      <c r="F72" s="35" t="e">
        <f>#REF!</f>
        <v>#REF!</v>
      </c>
      <c r="G72" s="31"/>
      <c r="H72" s="31"/>
      <c r="I72" s="31"/>
      <c r="J72" s="36"/>
      <c r="K72" s="36"/>
      <c r="L72" s="31" t="s">
        <v>99</v>
      </c>
      <c r="M72" s="53" t="e">
        <f>#REF!</f>
        <v>#REF!</v>
      </c>
      <c r="N72" s="31"/>
      <c r="O72" s="31" t="s">
        <v>56</v>
      </c>
    </row>
    <row r="73" spans="1:15" hidden="1" x14ac:dyDescent="0.4">
      <c r="A73" s="30" t="e">
        <f>MID(#REF!, 6, 2)</f>
        <v>#REF!</v>
      </c>
      <c r="B73" s="30" t="e">
        <f>MID(#REF!, 9, 2)</f>
        <v>#REF!</v>
      </c>
      <c r="C73" s="31" t="s">
        <v>30</v>
      </c>
      <c r="D73" s="32" t="s">
        <v>31</v>
      </c>
      <c r="E73" s="31" t="s">
        <v>51</v>
      </c>
      <c r="F73" s="35" t="e">
        <f>#REF!</f>
        <v>#REF!</v>
      </c>
      <c r="G73" s="31"/>
      <c r="H73" s="31"/>
      <c r="I73" s="31"/>
      <c r="J73" s="36"/>
      <c r="K73" s="36"/>
      <c r="L73" s="37" t="s">
        <v>52</v>
      </c>
      <c r="M73" s="53" t="e">
        <f>#REF!</f>
        <v>#REF!</v>
      </c>
      <c r="N73" s="31"/>
      <c r="O73" s="31" t="s">
        <v>56</v>
      </c>
    </row>
    <row r="74" spans="1:15" hidden="1" x14ac:dyDescent="0.4">
      <c r="A74" s="30" t="e">
        <f>MID(#REF!, 6, 2)</f>
        <v>#REF!</v>
      </c>
      <c r="B74" s="30" t="e">
        <f>MID(#REF!, 9, 2)</f>
        <v>#REF!</v>
      </c>
      <c r="C74" s="31" t="s">
        <v>30</v>
      </c>
      <c r="D74" s="32" t="s">
        <v>31</v>
      </c>
      <c r="E74" s="31" t="s">
        <v>70</v>
      </c>
      <c r="F74" s="35" t="e">
        <f>#REF!</f>
        <v>#REF!</v>
      </c>
      <c r="G74" s="31"/>
      <c r="H74" s="31"/>
      <c r="I74" s="31"/>
      <c r="J74" s="36"/>
      <c r="K74" s="36"/>
      <c r="L74" s="31" t="s">
        <v>100</v>
      </c>
      <c r="M74" s="53" t="e">
        <f>#REF!</f>
        <v>#REF!</v>
      </c>
      <c r="N74" s="31"/>
      <c r="O74" s="31" t="s">
        <v>56</v>
      </c>
    </row>
    <row r="75" spans="1:15" hidden="1" x14ac:dyDescent="0.4">
      <c r="A75" s="30" t="e">
        <f>MID(#REF!, 6, 2)</f>
        <v>#REF!</v>
      </c>
      <c r="B75" s="30" t="e">
        <f>MID(#REF!, 9, 2)</f>
        <v>#REF!</v>
      </c>
      <c r="C75" s="31" t="s">
        <v>30</v>
      </c>
      <c r="D75" s="32" t="s">
        <v>31</v>
      </c>
      <c r="E75" s="31" t="s">
        <v>32</v>
      </c>
      <c r="F75" s="35" t="e">
        <f>#REF!</f>
        <v>#REF!</v>
      </c>
      <c r="G75" s="31"/>
      <c r="H75" s="31"/>
      <c r="I75" s="31"/>
      <c r="J75" s="36"/>
      <c r="K75" s="36"/>
      <c r="L75" s="31" t="s">
        <v>101</v>
      </c>
      <c r="M75" s="53" t="e">
        <f>#REF!</f>
        <v>#REF!</v>
      </c>
      <c r="N75" s="31"/>
      <c r="O75" s="31" t="s">
        <v>56</v>
      </c>
    </row>
    <row r="76" spans="1:15" hidden="1" x14ac:dyDescent="0.4">
      <c r="A76" s="30" t="e">
        <f>MID(#REF!, 6, 2)</f>
        <v>#REF!</v>
      </c>
      <c r="B76" s="30" t="e">
        <f>MID(#REF!, 9, 2)</f>
        <v>#REF!</v>
      </c>
      <c r="C76" s="31" t="s">
        <v>30</v>
      </c>
      <c r="D76" s="32" t="s">
        <v>31</v>
      </c>
      <c r="E76" s="31" t="s">
        <v>46</v>
      </c>
      <c r="F76" s="35" t="e">
        <f>#REF!</f>
        <v>#REF!</v>
      </c>
      <c r="G76" s="31"/>
      <c r="H76" s="31"/>
      <c r="I76" s="31"/>
      <c r="J76" s="36"/>
      <c r="K76" s="36"/>
      <c r="L76" s="31" t="s">
        <v>102</v>
      </c>
      <c r="M76" s="53" t="e">
        <f>#REF!</f>
        <v>#REF!</v>
      </c>
      <c r="N76" s="31"/>
      <c r="O76" s="31" t="s">
        <v>56</v>
      </c>
    </row>
    <row r="77" spans="1:15" hidden="1" x14ac:dyDescent="0.4">
      <c r="A77" s="30" t="e">
        <f>MID(#REF!, 6, 2)</f>
        <v>#REF!</v>
      </c>
      <c r="B77" s="30" t="e">
        <f>MID(#REF!, 9, 2)</f>
        <v>#REF!</v>
      </c>
      <c r="C77" s="31" t="s">
        <v>30</v>
      </c>
      <c r="D77" s="32" t="s">
        <v>31</v>
      </c>
      <c r="E77" s="31" t="s">
        <v>46</v>
      </c>
      <c r="F77" s="35" t="e">
        <f>#REF!</f>
        <v>#REF!</v>
      </c>
      <c r="G77" s="31"/>
      <c r="H77" s="31"/>
      <c r="I77" s="31"/>
      <c r="J77" s="36"/>
      <c r="K77" s="36"/>
      <c r="L77" s="31" t="s">
        <v>103</v>
      </c>
      <c r="M77" s="53" t="e">
        <f>#REF!</f>
        <v>#REF!</v>
      </c>
      <c r="N77" s="31"/>
      <c r="O77" s="31" t="s">
        <v>56</v>
      </c>
    </row>
    <row r="78" spans="1:15" hidden="1" x14ac:dyDescent="0.4">
      <c r="A78" s="30" t="e">
        <f>MID(#REF!, 6, 2)</f>
        <v>#REF!</v>
      </c>
      <c r="B78" s="30" t="e">
        <f>MID(#REF!, 9, 2)</f>
        <v>#REF!</v>
      </c>
      <c r="C78" s="31" t="s">
        <v>30</v>
      </c>
      <c r="D78" s="32" t="s">
        <v>31</v>
      </c>
      <c r="E78" s="31" t="s">
        <v>104</v>
      </c>
      <c r="F78" s="35" t="e">
        <f>#REF!</f>
        <v>#REF!</v>
      </c>
      <c r="G78" s="31"/>
      <c r="H78" s="31"/>
      <c r="I78" s="31"/>
      <c r="J78" s="36"/>
      <c r="K78" s="36"/>
      <c r="L78" s="31" t="s">
        <v>105</v>
      </c>
      <c r="M78" s="53" t="e">
        <f>#REF!</f>
        <v>#REF!</v>
      </c>
      <c r="N78" s="31"/>
      <c r="O78" s="31" t="s">
        <v>56</v>
      </c>
    </row>
    <row r="79" spans="1:15" hidden="1" x14ac:dyDescent="0.4">
      <c r="A79" s="30" t="e">
        <f>MID(#REF!, 6, 2)</f>
        <v>#REF!</v>
      </c>
      <c r="B79" s="30" t="e">
        <f>MID(#REF!, 9, 2)</f>
        <v>#REF!</v>
      </c>
      <c r="C79" s="31" t="s">
        <v>30</v>
      </c>
      <c r="D79" s="32" t="s">
        <v>31</v>
      </c>
      <c r="E79" s="31" t="s">
        <v>46</v>
      </c>
      <c r="F79" s="35" t="e">
        <f>#REF!</f>
        <v>#REF!</v>
      </c>
      <c r="G79" s="31"/>
      <c r="H79" s="31"/>
      <c r="I79" s="31"/>
      <c r="J79" s="36"/>
      <c r="K79" s="36"/>
      <c r="L79" s="31" t="s">
        <v>106</v>
      </c>
      <c r="M79" s="53" t="e">
        <f>#REF!</f>
        <v>#REF!</v>
      </c>
      <c r="N79" s="31"/>
      <c r="O79" s="31" t="s">
        <v>56</v>
      </c>
    </row>
    <row r="80" spans="1:15" hidden="1" x14ac:dyDescent="0.4">
      <c r="A80" s="30" t="e">
        <f>MID(#REF!, 6, 2)</f>
        <v>#REF!</v>
      </c>
      <c r="B80" s="30" t="e">
        <f>MID(#REF!, 9, 2)</f>
        <v>#REF!</v>
      </c>
      <c r="C80" s="31" t="s">
        <v>30</v>
      </c>
      <c r="D80" s="32" t="s">
        <v>31</v>
      </c>
      <c r="E80" s="31" t="s">
        <v>32</v>
      </c>
      <c r="F80" s="35" t="e">
        <f>#REF!</f>
        <v>#REF!</v>
      </c>
      <c r="G80" s="31"/>
      <c r="H80" s="31"/>
      <c r="I80" s="31"/>
      <c r="J80" s="36"/>
      <c r="K80" s="36"/>
      <c r="L80" s="31" t="s">
        <v>107</v>
      </c>
      <c r="M80" s="53" t="e">
        <f>#REF!</f>
        <v>#REF!</v>
      </c>
      <c r="N80" s="31"/>
      <c r="O80" s="31" t="s">
        <v>56</v>
      </c>
    </row>
    <row r="81" spans="1:15" hidden="1" x14ac:dyDescent="0.4">
      <c r="A81" s="30" t="e">
        <f>MID(#REF!, 6, 2)</f>
        <v>#REF!</v>
      </c>
      <c r="B81" s="30" t="e">
        <f>MID(#REF!, 9, 2)</f>
        <v>#REF!</v>
      </c>
      <c r="C81" s="31" t="s">
        <v>30</v>
      </c>
      <c r="D81" s="32" t="s">
        <v>31</v>
      </c>
      <c r="E81" s="31" t="s">
        <v>46</v>
      </c>
      <c r="F81" s="35" t="e">
        <f>#REF!</f>
        <v>#REF!</v>
      </c>
      <c r="G81" s="31"/>
      <c r="H81" s="31"/>
      <c r="I81" s="31"/>
      <c r="J81" s="36"/>
      <c r="K81" s="36"/>
      <c r="L81" s="31" t="s">
        <v>108</v>
      </c>
      <c r="M81" s="53" t="e">
        <f>#REF!</f>
        <v>#REF!</v>
      </c>
      <c r="N81" s="31"/>
      <c r="O81" s="31" t="s">
        <v>56</v>
      </c>
    </row>
    <row r="82" spans="1:15" hidden="1" x14ac:dyDescent="0.4">
      <c r="A82" s="30" t="e">
        <f>MID(#REF!, 6, 2)</f>
        <v>#REF!</v>
      </c>
      <c r="B82" s="30" t="e">
        <f>MID(#REF!, 9, 2)</f>
        <v>#REF!</v>
      </c>
      <c r="C82" s="31" t="s">
        <v>30</v>
      </c>
      <c r="D82" s="32" t="s">
        <v>31</v>
      </c>
      <c r="E82" s="31" t="s">
        <v>46</v>
      </c>
      <c r="F82" s="35" t="e">
        <f>#REF!</f>
        <v>#REF!</v>
      </c>
      <c r="G82" s="31"/>
      <c r="H82" s="31"/>
      <c r="I82" s="31"/>
      <c r="J82" s="36"/>
      <c r="K82" s="36"/>
      <c r="L82" s="31" t="s">
        <v>109</v>
      </c>
      <c r="M82" s="53" t="e">
        <f>#REF!</f>
        <v>#REF!</v>
      </c>
      <c r="N82" s="31"/>
      <c r="O82" s="31" t="s">
        <v>56</v>
      </c>
    </row>
    <row r="83" spans="1:15" hidden="1" x14ac:dyDescent="0.4">
      <c r="A83" s="30" t="e">
        <f>MID(#REF!, 6, 2)</f>
        <v>#REF!</v>
      </c>
      <c r="B83" s="30" t="e">
        <f>MID(#REF!, 9, 2)</f>
        <v>#REF!</v>
      </c>
      <c r="C83" s="31" t="s">
        <v>30</v>
      </c>
      <c r="D83" s="32" t="s">
        <v>31</v>
      </c>
      <c r="E83" s="31" t="s">
        <v>46</v>
      </c>
      <c r="F83" s="35" t="e">
        <f>#REF!</f>
        <v>#REF!</v>
      </c>
      <c r="G83" s="31"/>
      <c r="H83" s="31"/>
      <c r="I83" s="31"/>
      <c r="J83" s="36"/>
      <c r="K83" s="36"/>
      <c r="L83" s="31" t="s">
        <v>110</v>
      </c>
      <c r="M83" s="53" t="e">
        <f>#REF!</f>
        <v>#REF!</v>
      </c>
      <c r="N83" s="31"/>
      <c r="O83" s="31" t="s">
        <v>56</v>
      </c>
    </row>
    <row r="84" spans="1:15" hidden="1" x14ac:dyDescent="0.4">
      <c r="A84" s="30" t="e">
        <f>MID(#REF!, 6, 2)</f>
        <v>#REF!</v>
      </c>
      <c r="B84" s="30" t="e">
        <f>MID(#REF!, 9, 2)</f>
        <v>#REF!</v>
      </c>
      <c r="C84" s="31" t="s">
        <v>30</v>
      </c>
      <c r="D84" s="32" t="s">
        <v>31</v>
      </c>
      <c r="E84" s="31" t="s">
        <v>46</v>
      </c>
      <c r="F84" s="35" t="e">
        <f>#REF!</f>
        <v>#REF!</v>
      </c>
      <c r="G84" s="31"/>
      <c r="H84" s="31"/>
      <c r="I84" s="31"/>
      <c r="J84" s="36"/>
      <c r="K84" s="36"/>
      <c r="L84" s="31" t="s">
        <v>111</v>
      </c>
      <c r="M84" s="53" t="e">
        <f>#REF!</f>
        <v>#REF!</v>
      </c>
      <c r="N84" s="31"/>
      <c r="O84" s="31" t="s">
        <v>56</v>
      </c>
    </row>
    <row r="85" spans="1:15" hidden="1" x14ac:dyDescent="0.4">
      <c r="A85" s="30" t="e">
        <f>MID(#REF!, 6, 2)</f>
        <v>#REF!</v>
      </c>
      <c r="B85" s="30" t="e">
        <f>MID(#REF!, 9, 2)</f>
        <v>#REF!</v>
      </c>
      <c r="C85" s="31" t="s">
        <v>30</v>
      </c>
      <c r="D85" s="32" t="s">
        <v>31</v>
      </c>
      <c r="E85" s="31" t="s">
        <v>37</v>
      </c>
      <c r="F85" s="35" t="e">
        <f>#REF!</f>
        <v>#REF!</v>
      </c>
      <c r="G85" s="31"/>
      <c r="H85" s="31"/>
      <c r="I85" s="31"/>
      <c r="J85" s="36"/>
      <c r="K85" s="36"/>
      <c r="L85" s="31" t="s">
        <v>109</v>
      </c>
      <c r="M85" s="53" t="e">
        <f>#REF!</f>
        <v>#REF!</v>
      </c>
      <c r="N85" s="31"/>
      <c r="O85" s="31" t="s">
        <v>56</v>
      </c>
    </row>
    <row r="86" spans="1:15" hidden="1" x14ac:dyDescent="0.4">
      <c r="A86" s="30" t="e">
        <f>MID(#REF!, 6, 2)</f>
        <v>#REF!</v>
      </c>
      <c r="B86" s="30" t="e">
        <f>MID(#REF!, 9, 2)</f>
        <v>#REF!</v>
      </c>
      <c r="C86" s="31" t="s">
        <v>30</v>
      </c>
      <c r="D86" s="32" t="s">
        <v>31</v>
      </c>
      <c r="E86" s="31" t="s">
        <v>37</v>
      </c>
      <c r="F86" s="35" t="e">
        <f>#REF!</f>
        <v>#REF!</v>
      </c>
      <c r="G86" s="31"/>
      <c r="H86" s="31"/>
      <c r="I86" s="31"/>
      <c r="J86" s="36"/>
      <c r="K86" s="36"/>
      <c r="L86" s="31" t="s">
        <v>112</v>
      </c>
      <c r="M86" s="53" t="e">
        <f>#REF!</f>
        <v>#REF!</v>
      </c>
      <c r="N86" s="31"/>
      <c r="O86" s="31" t="s">
        <v>56</v>
      </c>
    </row>
    <row r="87" spans="1:15" hidden="1" x14ac:dyDescent="0.4">
      <c r="A87" s="30" t="e">
        <f>MID(#REF!, 6, 2)</f>
        <v>#REF!</v>
      </c>
      <c r="B87" s="30" t="e">
        <f>MID(#REF!, 9, 2)</f>
        <v>#REF!</v>
      </c>
      <c r="C87" s="31" t="s">
        <v>30</v>
      </c>
      <c r="D87" s="32" t="s">
        <v>31</v>
      </c>
      <c r="E87" s="31" t="s">
        <v>37</v>
      </c>
      <c r="F87" s="35" t="e">
        <f>#REF!</f>
        <v>#REF!</v>
      </c>
      <c r="G87" s="31"/>
      <c r="H87" s="31"/>
      <c r="I87" s="31"/>
      <c r="J87" s="36"/>
      <c r="K87" s="36"/>
      <c r="L87" s="31" t="s">
        <v>112</v>
      </c>
      <c r="M87" s="53" t="e">
        <f>#REF!</f>
        <v>#REF!</v>
      </c>
      <c r="N87" s="31"/>
      <c r="O87" s="31" t="s">
        <v>56</v>
      </c>
    </row>
    <row r="88" spans="1:15" hidden="1" x14ac:dyDescent="0.4">
      <c r="A88" s="30" t="e">
        <f>MID(#REF!, 6, 2)</f>
        <v>#REF!</v>
      </c>
      <c r="B88" s="30" t="e">
        <f>MID(#REF!, 9, 2)</f>
        <v>#REF!</v>
      </c>
      <c r="C88" s="31" t="s">
        <v>30</v>
      </c>
      <c r="D88" s="32" t="s">
        <v>31</v>
      </c>
      <c r="E88" s="31" t="s">
        <v>37</v>
      </c>
      <c r="F88" s="35" t="e">
        <f>#REF!</f>
        <v>#REF!</v>
      </c>
      <c r="G88" s="31"/>
      <c r="H88" s="31"/>
      <c r="I88" s="31"/>
      <c r="J88" s="36"/>
      <c r="K88" s="36"/>
      <c r="L88" s="31" t="s">
        <v>112</v>
      </c>
      <c r="M88" s="53" t="e">
        <f>#REF!</f>
        <v>#REF!</v>
      </c>
      <c r="N88" s="31"/>
      <c r="O88" s="31" t="s">
        <v>56</v>
      </c>
    </row>
    <row r="89" spans="1:15" hidden="1" x14ac:dyDescent="0.4">
      <c r="A89" s="30" t="e">
        <f>MID(#REF!, 6, 2)</f>
        <v>#REF!</v>
      </c>
      <c r="B89" s="30" t="e">
        <f>MID(#REF!, 9, 2)</f>
        <v>#REF!</v>
      </c>
      <c r="C89" s="31" t="s">
        <v>30</v>
      </c>
      <c r="D89" s="32" t="s">
        <v>31</v>
      </c>
      <c r="E89" s="31" t="s">
        <v>32</v>
      </c>
      <c r="F89" s="35" t="e">
        <f>#REF!</f>
        <v>#REF!</v>
      </c>
      <c r="G89" s="31"/>
      <c r="H89" s="31"/>
      <c r="I89" s="31"/>
      <c r="J89" s="36"/>
      <c r="K89" s="36"/>
      <c r="L89" s="31" t="s">
        <v>113</v>
      </c>
      <c r="M89" s="53" t="e">
        <f>#REF!</f>
        <v>#REF!</v>
      </c>
      <c r="N89" s="31"/>
      <c r="O89" s="31" t="s">
        <v>56</v>
      </c>
    </row>
    <row r="90" spans="1:15" hidden="1" x14ac:dyDescent="0.4">
      <c r="A90" s="30" t="e">
        <f>MID(#REF!, 6, 2)</f>
        <v>#REF!</v>
      </c>
      <c r="B90" s="30" t="e">
        <f>MID(#REF!, 9, 2)</f>
        <v>#REF!</v>
      </c>
      <c r="C90" s="31" t="s">
        <v>30</v>
      </c>
      <c r="D90" s="32" t="s">
        <v>31</v>
      </c>
      <c r="E90" s="31" t="s">
        <v>37</v>
      </c>
      <c r="F90" s="35" t="e">
        <f>#REF!</f>
        <v>#REF!</v>
      </c>
      <c r="G90" s="31"/>
      <c r="H90" s="31"/>
      <c r="I90" s="31"/>
      <c r="J90" s="36"/>
      <c r="K90" s="36"/>
      <c r="L90" s="31" t="s">
        <v>114</v>
      </c>
      <c r="M90" s="53" t="e">
        <f>#REF!</f>
        <v>#REF!</v>
      </c>
      <c r="N90" s="31"/>
      <c r="O90" s="31" t="s">
        <v>56</v>
      </c>
    </row>
    <row r="91" spans="1:15" hidden="1" x14ac:dyDescent="0.4">
      <c r="A91" s="30" t="e">
        <f>MID(#REF!, 6, 2)</f>
        <v>#REF!</v>
      </c>
      <c r="B91" s="30" t="e">
        <f>MID(#REF!, 9, 2)</f>
        <v>#REF!</v>
      </c>
      <c r="C91" s="31" t="s">
        <v>30</v>
      </c>
      <c r="D91" s="32" t="s">
        <v>31</v>
      </c>
      <c r="E91" s="31" t="s">
        <v>37</v>
      </c>
      <c r="F91" s="35" t="e">
        <f>#REF!</f>
        <v>#REF!</v>
      </c>
      <c r="G91" s="31"/>
      <c r="H91" s="31"/>
      <c r="I91" s="31"/>
      <c r="J91" s="36"/>
      <c r="K91" s="36"/>
      <c r="L91" s="31" t="s">
        <v>115</v>
      </c>
      <c r="M91" s="53" t="e">
        <f>#REF!</f>
        <v>#REF!</v>
      </c>
      <c r="N91" s="31"/>
      <c r="O91" s="31" t="s">
        <v>56</v>
      </c>
    </row>
    <row r="92" spans="1:15" hidden="1" x14ac:dyDescent="0.4">
      <c r="A92" s="30" t="e">
        <f>MID(#REF!, 6, 2)</f>
        <v>#REF!</v>
      </c>
      <c r="B92" s="30" t="e">
        <f>MID(#REF!, 9, 2)</f>
        <v>#REF!</v>
      </c>
      <c r="C92" s="31" t="s">
        <v>30</v>
      </c>
      <c r="D92" s="32" t="s">
        <v>31</v>
      </c>
      <c r="E92" s="31" t="s">
        <v>37</v>
      </c>
      <c r="F92" s="35" t="e">
        <f>#REF!</f>
        <v>#REF!</v>
      </c>
      <c r="G92" s="31"/>
      <c r="H92" s="31"/>
      <c r="I92" s="31"/>
      <c r="J92" s="36"/>
      <c r="K92" s="36"/>
      <c r="L92" s="31" t="s">
        <v>116</v>
      </c>
      <c r="M92" s="53" t="e">
        <f>#REF!</f>
        <v>#REF!</v>
      </c>
      <c r="N92" s="31"/>
      <c r="O92" s="31" t="s">
        <v>56</v>
      </c>
    </row>
    <row r="93" spans="1:15" hidden="1" x14ac:dyDescent="0.4">
      <c r="A93" s="30" t="e">
        <f>MID(#REF!, 6, 2)</f>
        <v>#REF!</v>
      </c>
      <c r="B93" s="30" t="e">
        <f>MID(#REF!, 9, 2)</f>
        <v>#REF!</v>
      </c>
      <c r="C93" s="31" t="s">
        <v>30</v>
      </c>
      <c r="D93" s="32" t="s">
        <v>31</v>
      </c>
      <c r="E93" s="31" t="s">
        <v>46</v>
      </c>
      <c r="F93" s="35" t="e">
        <f>#REF!</f>
        <v>#REF!</v>
      </c>
      <c r="G93" s="31"/>
      <c r="H93" s="31"/>
      <c r="I93" s="31"/>
      <c r="J93" s="36"/>
      <c r="K93" s="36"/>
      <c r="L93" s="31" t="s">
        <v>117</v>
      </c>
      <c r="M93" s="53" t="e">
        <f>#REF!</f>
        <v>#REF!</v>
      </c>
      <c r="N93" s="31"/>
      <c r="O93" s="31" t="s">
        <v>56</v>
      </c>
    </row>
    <row r="94" spans="1:15" hidden="1" x14ac:dyDescent="0.4">
      <c r="A94" s="30" t="e">
        <f>MID(#REF!, 6, 2)</f>
        <v>#REF!</v>
      </c>
      <c r="B94" s="30" t="e">
        <f>MID(#REF!, 9, 2)</f>
        <v>#REF!</v>
      </c>
      <c r="C94" s="31" t="s">
        <v>30</v>
      </c>
      <c r="D94" s="32" t="s">
        <v>31</v>
      </c>
      <c r="E94" s="31" t="s">
        <v>32</v>
      </c>
      <c r="F94" s="35" t="e">
        <f>#REF!</f>
        <v>#REF!</v>
      </c>
      <c r="G94" s="31"/>
      <c r="H94" s="31"/>
      <c r="I94" s="31"/>
      <c r="J94" s="36"/>
      <c r="K94" s="36"/>
      <c r="L94" s="31" t="s">
        <v>118</v>
      </c>
      <c r="M94" s="53" t="e">
        <f>#REF!</f>
        <v>#REF!</v>
      </c>
      <c r="N94" s="31"/>
      <c r="O94" s="31" t="s">
        <v>56</v>
      </c>
    </row>
    <row r="95" spans="1:15" hidden="1" x14ac:dyDescent="0.4">
      <c r="A95" s="30" t="e">
        <f>MID(#REF!, 6, 2)</f>
        <v>#REF!</v>
      </c>
      <c r="B95" s="30" t="e">
        <f>MID(#REF!, 9, 2)</f>
        <v>#REF!</v>
      </c>
      <c r="C95" s="31" t="s">
        <v>30</v>
      </c>
      <c r="D95" s="32" t="s">
        <v>31</v>
      </c>
      <c r="E95" s="31" t="s">
        <v>63</v>
      </c>
      <c r="F95" s="35" t="e">
        <f>#REF!</f>
        <v>#REF!</v>
      </c>
      <c r="G95" s="31"/>
      <c r="H95" s="31"/>
      <c r="I95" s="31"/>
      <c r="J95" s="36"/>
      <c r="K95" s="36"/>
      <c r="L95" s="31" t="s">
        <v>119</v>
      </c>
      <c r="M95" s="53" t="e">
        <f>#REF!</f>
        <v>#REF!</v>
      </c>
      <c r="N95" s="31"/>
      <c r="O95" s="31" t="s">
        <v>56</v>
      </c>
    </row>
    <row r="96" spans="1:15" hidden="1" x14ac:dyDescent="0.4">
      <c r="A96" s="30" t="e">
        <f>MID(#REF!, 6, 2)</f>
        <v>#REF!</v>
      </c>
      <c r="B96" s="30" t="e">
        <f>MID(#REF!, 9, 2)</f>
        <v>#REF!</v>
      </c>
      <c r="C96" s="31" t="s">
        <v>30</v>
      </c>
      <c r="D96" s="32" t="s">
        <v>31</v>
      </c>
      <c r="E96" s="31" t="s">
        <v>120</v>
      </c>
      <c r="F96" s="35" t="e">
        <f>#REF!</f>
        <v>#REF!</v>
      </c>
      <c r="G96" s="31"/>
      <c r="H96" s="31"/>
      <c r="I96" s="31"/>
      <c r="J96" s="36"/>
      <c r="K96" s="36"/>
      <c r="L96" s="31" t="s">
        <v>121</v>
      </c>
      <c r="M96" s="53" t="e">
        <f>#REF!</f>
        <v>#REF!</v>
      </c>
      <c r="N96" s="31"/>
      <c r="O96" s="31" t="s">
        <v>56</v>
      </c>
    </row>
    <row r="97" spans="1:15" hidden="1" x14ac:dyDescent="0.4">
      <c r="A97" s="30" t="e">
        <f>MID(#REF!, 6, 2)</f>
        <v>#REF!</v>
      </c>
      <c r="B97" s="30" t="e">
        <f>MID(#REF!, 9, 2)</f>
        <v>#REF!</v>
      </c>
      <c r="C97" s="31" t="s">
        <v>30</v>
      </c>
      <c r="D97" s="32" t="s">
        <v>31</v>
      </c>
      <c r="E97" s="31" t="s">
        <v>120</v>
      </c>
      <c r="F97" s="35" t="e">
        <f>#REF!</f>
        <v>#REF!</v>
      </c>
      <c r="G97" s="31"/>
      <c r="H97" s="31"/>
      <c r="I97" s="31"/>
      <c r="J97" s="36"/>
      <c r="K97" s="36"/>
      <c r="L97" s="31" t="s">
        <v>122</v>
      </c>
      <c r="M97" s="53" t="e">
        <f>#REF!</f>
        <v>#REF!</v>
      </c>
      <c r="N97" s="31"/>
      <c r="O97" s="31" t="s">
        <v>56</v>
      </c>
    </row>
    <row r="98" spans="1:15" hidden="1" x14ac:dyDescent="0.4">
      <c r="A98" s="30" t="e">
        <f>MID(#REF!, 6, 2)</f>
        <v>#REF!</v>
      </c>
      <c r="B98" s="30" t="e">
        <f>MID(#REF!, 9, 2)</f>
        <v>#REF!</v>
      </c>
      <c r="C98" s="31" t="s">
        <v>30</v>
      </c>
      <c r="D98" s="32" t="s">
        <v>31</v>
      </c>
      <c r="E98" s="31" t="s">
        <v>120</v>
      </c>
      <c r="F98" s="35" t="e">
        <f>#REF!</f>
        <v>#REF!</v>
      </c>
      <c r="G98" s="31"/>
      <c r="H98" s="31"/>
      <c r="I98" s="31"/>
      <c r="J98" s="36"/>
      <c r="K98" s="36"/>
      <c r="L98" s="31" t="s">
        <v>122</v>
      </c>
      <c r="M98" s="53" t="e">
        <f>#REF!</f>
        <v>#REF!</v>
      </c>
      <c r="N98" s="31"/>
      <c r="O98" s="31" t="s">
        <v>56</v>
      </c>
    </row>
    <row r="99" spans="1:15" hidden="1" x14ac:dyDescent="0.4">
      <c r="A99" s="30" t="e">
        <f>MID(#REF!, 6, 2)</f>
        <v>#REF!</v>
      </c>
      <c r="B99" s="30" t="e">
        <f>MID(#REF!, 9, 2)</f>
        <v>#REF!</v>
      </c>
      <c r="C99" s="31" t="s">
        <v>30</v>
      </c>
      <c r="D99" s="32" t="s">
        <v>31</v>
      </c>
      <c r="E99" s="31" t="s">
        <v>32</v>
      </c>
      <c r="F99" s="35" t="e">
        <f>#REF!</f>
        <v>#REF!</v>
      </c>
      <c r="G99" s="31"/>
      <c r="H99" s="31"/>
      <c r="I99" s="31"/>
      <c r="J99" s="36"/>
      <c r="K99" s="36"/>
      <c r="L99" s="31" t="s">
        <v>96</v>
      </c>
      <c r="M99" s="53" t="e">
        <f>#REF!</f>
        <v>#REF!</v>
      </c>
      <c r="N99" s="31"/>
      <c r="O99" s="31" t="s">
        <v>56</v>
      </c>
    </row>
    <row r="100" spans="1:15" hidden="1" x14ac:dyDescent="0.4">
      <c r="A100" s="30" t="e">
        <f>MID(#REF!, 6, 2)</f>
        <v>#REF!</v>
      </c>
      <c r="B100" s="30" t="e">
        <f>MID(#REF!, 9, 2)</f>
        <v>#REF!</v>
      </c>
      <c r="C100" s="31" t="s">
        <v>30</v>
      </c>
      <c r="D100" s="32" t="s">
        <v>31</v>
      </c>
      <c r="E100" s="31" t="s">
        <v>97</v>
      </c>
      <c r="F100" s="35" t="e">
        <f>#REF!</f>
        <v>#REF!</v>
      </c>
      <c r="G100" s="31"/>
      <c r="H100" s="31"/>
      <c r="I100" s="31"/>
      <c r="J100" s="36"/>
      <c r="K100" s="36"/>
      <c r="L100" s="31" t="s">
        <v>123</v>
      </c>
      <c r="M100" s="53" t="e">
        <f>#REF!</f>
        <v>#REF!</v>
      </c>
      <c r="N100" s="31"/>
      <c r="O100" s="31" t="s">
        <v>56</v>
      </c>
    </row>
    <row r="101" spans="1:15" hidden="1" x14ac:dyDescent="0.4">
      <c r="A101" s="30" t="e">
        <f>MID(#REF!, 6, 2)</f>
        <v>#REF!</v>
      </c>
      <c r="B101" s="30" t="e">
        <f>MID(#REF!, 9, 2)</f>
        <v>#REF!</v>
      </c>
      <c r="C101" s="31" t="s">
        <v>30</v>
      </c>
      <c r="D101" s="32" t="s">
        <v>31</v>
      </c>
      <c r="E101" s="31" t="s">
        <v>32</v>
      </c>
      <c r="F101" s="35" t="e">
        <f>#REF!</f>
        <v>#REF!</v>
      </c>
      <c r="G101" s="31"/>
      <c r="H101" s="31"/>
      <c r="I101" s="31"/>
      <c r="J101" s="36"/>
      <c r="K101" s="36"/>
      <c r="L101" s="31" t="s">
        <v>124</v>
      </c>
      <c r="M101" s="53" t="e">
        <f>#REF!</f>
        <v>#REF!</v>
      </c>
      <c r="N101" s="31"/>
      <c r="O101" s="31" t="s">
        <v>56</v>
      </c>
    </row>
    <row r="102" spans="1:15" hidden="1" x14ac:dyDescent="0.4">
      <c r="A102" s="30" t="e">
        <f>MID(#REF!, 6, 2)</f>
        <v>#REF!</v>
      </c>
      <c r="B102" s="30" t="e">
        <f>MID(#REF!, 9, 2)</f>
        <v>#REF!</v>
      </c>
      <c r="C102" s="31" t="s">
        <v>30</v>
      </c>
      <c r="D102" s="32" t="s">
        <v>31</v>
      </c>
      <c r="E102" s="31" t="s">
        <v>120</v>
      </c>
      <c r="F102" s="35" t="e">
        <f>#REF!</f>
        <v>#REF!</v>
      </c>
      <c r="G102" s="31"/>
      <c r="H102" s="31"/>
      <c r="I102" s="31"/>
      <c r="J102" s="36"/>
      <c r="K102" s="36"/>
      <c r="L102" s="31" t="s">
        <v>125</v>
      </c>
      <c r="M102" s="53" t="e">
        <f>#REF!</f>
        <v>#REF!</v>
      </c>
      <c r="N102" s="31"/>
      <c r="O102" s="31" t="s">
        <v>56</v>
      </c>
    </row>
    <row r="103" spans="1:15" hidden="1" x14ac:dyDescent="0.4">
      <c r="A103" s="30" t="e">
        <f>MID(#REF!, 6, 2)</f>
        <v>#REF!</v>
      </c>
      <c r="B103" s="30" t="e">
        <f>MID(#REF!, 9, 2)</f>
        <v>#REF!</v>
      </c>
      <c r="C103" s="31" t="s">
        <v>30</v>
      </c>
      <c r="D103" s="32" t="s">
        <v>31</v>
      </c>
      <c r="E103" s="31" t="s">
        <v>120</v>
      </c>
      <c r="F103" s="35" t="e">
        <f>#REF!</f>
        <v>#REF!</v>
      </c>
      <c r="G103" s="31"/>
      <c r="H103" s="31"/>
      <c r="I103" s="31"/>
      <c r="J103" s="36"/>
      <c r="K103" s="36"/>
      <c r="L103" s="31" t="s">
        <v>125</v>
      </c>
      <c r="M103" s="53" t="e">
        <f>#REF!</f>
        <v>#REF!</v>
      </c>
      <c r="N103" s="31"/>
      <c r="O103" s="31" t="s">
        <v>56</v>
      </c>
    </row>
    <row r="104" spans="1:15" hidden="1" x14ac:dyDescent="0.4">
      <c r="A104" s="30" t="e">
        <f>MID(#REF!, 6, 2)</f>
        <v>#REF!</v>
      </c>
      <c r="B104" s="30" t="e">
        <f>MID(#REF!, 9, 2)</f>
        <v>#REF!</v>
      </c>
      <c r="C104" s="31" t="s">
        <v>30</v>
      </c>
      <c r="D104" s="32" t="s">
        <v>31</v>
      </c>
      <c r="E104" s="31" t="s">
        <v>32</v>
      </c>
      <c r="F104" s="35" t="e">
        <f>#REF!</f>
        <v>#REF!</v>
      </c>
      <c r="G104" s="31"/>
      <c r="H104" s="31"/>
      <c r="I104" s="31"/>
      <c r="J104" s="36"/>
      <c r="K104" s="36"/>
      <c r="L104" s="31" t="s">
        <v>126</v>
      </c>
      <c r="M104" s="53" t="e">
        <f>#REF!</f>
        <v>#REF!</v>
      </c>
      <c r="N104" s="31"/>
      <c r="O104" s="31" t="s">
        <v>56</v>
      </c>
    </row>
    <row r="105" spans="1:15" hidden="1" x14ac:dyDescent="0.4">
      <c r="A105" s="30" t="e">
        <f>MID(#REF!, 6, 2)</f>
        <v>#REF!</v>
      </c>
      <c r="B105" s="30" t="e">
        <f>MID(#REF!, 9, 2)</f>
        <v>#REF!</v>
      </c>
      <c r="C105" s="31" t="s">
        <v>30</v>
      </c>
      <c r="D105" s="32" t="s">
        <v>31</v>
      </c>
      <c r="E105" s="31" t="s">
        <v>32</v>
      </c>
      <c r="F105" s="35" t="e">
        <f>#REF!</f>
        <v>#REF!</v>
      </c>
      <c r="G105" s="31"/>
      <c r="H105" s="31"/>
      <c r="I105" s="31"/>
      <c r="J105" s="36"/>
      <c r="K105" s="36"/>
      <c r="L105" s="31" t="s">
        <v>57</v>
      </c>
      <c r="M105" s="53" t="e">
        <f>#REF!</f>
        <v>#REF!</v>
      </c>
      <c r="N105" s="31"/>
      <c r="O105" s="31" t="s">
        <v>56</v>
      </c>
    </row>
    <row r="106" spans="1:15" hidden="1" x14ac:dyDescent="0.4">
      <c r="A106" s="30" t="e">
        <f>MID(#REF!, 6, 2)</f>
        <v>#REF!</v>
      </c>
      <c r="B106" s="30" t="e">
        <f>MID(#REF!, 9, 2)</f>
        <v>#REF!</v>
      </c>
      <c r="C106" s="31" t="s">
        <v>30</v>
      </c>
      <c r="D106" s="32" t="s">
        <v>31</v>
      </c>
      <c r="E106" s="31" t="s">
        <v>127</v>
      </c>
      <c r="F106" s="35" t="e">
        <f>#REF!</f>
        <v>#REF!</v>
      </c>
      <c r="G106" s="31"/>
      <c r="H106" s="31"/>
      <c r="I106" s="31"/>
      <c r="J106" s="36"/>
      <c r="K106" s="36"/>
      <c r="L106" s="31" t="s">
        <v>128</v>
      </c>
      <c r="M106" s="53" t="e">
        <f>#REF!</f>
        <v>#REF!</v>
      </c>
      <c r="N106" s="31"/>
      <c r="O106" s="31" t="s">
        <v>56</v>
      </c>
    </row>
    <row r="107" spans="1:15" hidden="1" x14ac:dyDescent="0.4">
      <c r="A107" s="30" t="e">
        <f>MID(#REF!, 6, 2)</f>
        <v>#REF!</v>
      </c>
      <c r="B107" s="30" t="e">
        <f>MID(#REF!, 9, 2)</f>
        <v>#REF!</v>
      </c>
      <c r="C107" s="31" t="s">
        <v>30</v>
      </c>
      <c r="D107" s="32" t="s">
        <v>31</v>
      </c>
      <c r="E107" s="31" t="s">
        <v>51</v>
      </c>
      <c r="F107" s="35" t="e">
        <f>#REF!</f>
        <v>#REF!</v>
      </c>
      <c r="G107" s="31"/>
      <c r="H107" s="31"/>
      <c r="I107" s="31"/>
      <c r="J107" s="36"/>
      <c r="K107" s="36"/>
      <c r="L107" s="31" t="s">
        <v>52</v>
      </c>
      <c r="M107" s="53" t="e">
        <f>#REF!</f>
        <v>#REF!</v>
      </c>
      <c r="N107" s="31"/>
      <c r="O107" s="31" t="s">
        <v>56</v>
      </c>
    </row>
    <row r="108" spans="1:15" hidden="1" x14ac:dyDescent="0.4">
      <c r="A108" s="30" t="e">
        <f>MID(#REF!, 6, 2)</f>
        <v>#REF!</v>
      </c>
      <c r="B108" s="30" t="e">
        <f>MID(#REF!, 9, 2)</f>
        <v>#REF!</v>
      </c>
      <c r="C108" s="31" t="s">
        <v>30</v>
      </c>
      <c r="D108" s="32" t="s">
        <v>31</v>
      </c>
      <c r="E108" s="31" t="s">
        <v>32</v>
      </c>
      <c r="F108" s="35" t="e">
        <f>#REF!</f>
        <v>#REF!</v>
      </c>
      <c r="G108" s="31"/>
      <c r="H108" s="31"/>
      <c r="I108" s="31"/>
      <c r="J108" s="36"/>
      <c r="K108" s="36"/>
      <c r="L108" s="31" t="s">
        <v>129</v>
      </c>
      <c r="M108" s="53" t="e">
        <f>#REF!</f>
        <v>#REF!</v>
      </c>
      <c r="N108" s="31"/>
      <c r="O108" s="31" t="s">
        <v>56</v>
      </c>
    </row>
    <row r="109" spans="1:15" hidden="1" x14ac:dyDescent="0.4">
      <c r="A109" s="30" t="e">
        <f>MID(#REF!, 6, 2)</f>
        <v>#REF!</v>
      </c>
      <c r="B109" s="30" t="e">
        <f>MID(#REF!, 9, 2)</f>
        <v>#REF!</v>
      </c>
      <c r="C109" s="31" t="s">
        <v>30</v>
      </c>
      <c r="D109" s="32" t="s">
        <v>31</v>
      </c>
      <c r="E109" s="31" t="s">
        <v>37</v>
      </c>
      <c r="F109" s="35" t="e">
        <f>#REF!</f>
        <v>#REF!</v>
      </c>
      <c r="G109" s="31"/>
      <c r="H109" s="31"/>
      <c r="I109" s="31"/>
      <c r="J109" s="36"/>
      <c r="K109" s="36"/>
      <c r="L109" s="31" t="s">
        <v>130</v>
      </c>
      <c r="M109" s="53" t="e">
        <f>#REF!</f>
        <v>#REF!</v>
      </c>
      <c r="N109" s="31"/>
      <c r="O109" s="31" t="s">
        <v>56</v>
      </c>
    </row>
    <row r="110" spans="1:15" hidden="1" x14ac:dyDescent="0.4">
      <c r="A110" s="30" t="e">
        <f>MID(#REF!, 6, 2)</f>
        <v>#REF!</v>
      </c>
      <c r="B110" s="30" t="e">
        <f>MID(#REF!, 9, 2)</f>
        <v>#REF!</v>
      </c>
      <c r="C110" s="31" t="s">
        <v>30</v>
      </c>
      <c r="D110" s="32" t="s">
        <v>31</v>
      </c>
      <c r="E110" s="31" t="s">
        <v>32</v>
      </c>
      <c r="F110" s="35" t="e">
        <f>#REF!</f>
        <v>#REF!</v>
      </c>
      <c r="G110" s="31"/>
      <c r="H110" s="31"/>
      <c r="I110" s="31"/>
      <c r="J110" s="36"/>
      <c r="K110" s="36"/>
      <c r="L110" s="31" t="s">
        <v>124</v>
      </c>
      <c r="M110" s="53" t="e">
        <f>#REF!</f>
        <v>#REF!</v>
      </c>
      <c r="N110" s="31"/>
      <c r="O110" s="31" t="s">
        <v>56</v>
      </c>
    </row>
    <row r="111" spans="1:15" hidden="1" x14ac:dyDescent="0.4">
      <c r="A111" s="30" t="e">
        <f>MID(#REF!, 6, 2)</f>
        <v>#REF!</v>
      </c>
      <c r="B111" s="30" t="e">
        <f>MID(#REF!, 9, 2)</f>
        <v>#REF!</v>
      </c>
      <c r="C111" s="31" t="s">
        <v>30</v>
      </c>
      <c r="D111" s="32" t="s">
        <v>31</v>
      </c>
      <c r="E111" s="31" t="s">
        <v>32</v>
      </c>
      <c r="F111" s="35" t="e">
        <f>#REF!</f>
        <v>#REF!</v>
      </c>
      <c r="G111" s="31"/>
      <c r="H111" s="31"/>
      <c r="I111" s="31"/>
      <c r="J111" s="36"/>
      <c r="K111" s="36"/>
      <c r="L111" s="31" t="s">
        <v>84</v>
      </c>
      <c r="M111" s="53" t="e">
        <f>#REF!</f>
        <v>#REF!</v>
      </c>
      <c r="N111" s="31"/>
      <c r="O111" s="31" t="s">
        <v>56</v>
      </c>
    </row>
    <row r="112" spans="1:15" hidden="1" x14ac:dyDescent="0.4">
      <c r="A112" s="30" t="e">
        <f>MID(#REF!, 6, 2)</f>
        <v>#REF!</v>
      </c>
      <c r="B112" s="30" t="e">
        <f>MID(#REF!, 9, 2)</f>
        <v>#REF!</v>
      </c>
      <c r="C112" s="31" t="s">
        <v>30</v>
      </c>
      <c r="D112" s="32" t="s">
        <v>31</v>
      </c>
      <c r="E112" s="31" t="s">
        <v>63</v>
      </c>
      <c r="F112" s="35" t="e">
        <f>#REF!</f>
        <v>#REF!</v>
      </c>
      <c r="G112" s="31"/>
      <c r="H112" s="31"/>
      <c r="I112" s="31"/>
      <c r="J112" s="36"/>
      <c r="K112" s="36"/>
      <c r="L112" s="31" t="s">
        <v>131</v>
      </c>
      <c r="M112" s="53" t="e">
        <f>#REF!</f>
        <v>#REF!</v>
      </c>
      <c r="N112" s="31"/>
      <c r="O112" s="31" t="s">
        <v>56</v>
      </c>
    </row>
    <row r="113" spans="1:15" hidden="1" x14ac:dyDescent="0.4">
      <c r="A113" s="30" t="e">
        <f>MID(#REF!, 6, 2)</f>
        <v>#REF!</v>
      </c>
      <c r="B113" s="30" t="e">
        <f>MID(#REF!, 9, 2)</f>
        <v>#REF!</v>
      </c>
      <c r="C113" s="31" t="s">
        <v>30</v>
      </c>
      <c r="D113" s="32" t="s">
        <v>31</v>
      </c>
      <c r="E113" s="31" t="s">
        <v>32</v>
      </c>
      <c r="F113" s="35" t="e">
        <f>#REF!</f>
        <v>#REF!</v>
      </c>
      <c r="G113" s="31"/>
      <c r="H113" s="31"/>
      <c r="I113" s="31"/>
      <c r="J113" s="36"/>
      <c r="K113" s="36"/>
      <c r="L113" s="31" t="s">
        <v>124</v>
      </c>
      <c r="M113" s="53" t="e">
        <f>#REF!</f>
        <v>#REF!</v>
      </c>
      <c r="N113" s="31"/>
      <c r="O113" s="31" t="s">
        <v>56</v>
      </c>
    </row>
    <row r="114" spans="1:15" hidden="1" x14ac:dyDescent="0.4">
      <c r="A114" s="30" t="e">
        <f>MID(#REF!, 6, 2)</f>
        <v>#REF!</v>
      </c>
      <c r="B114" s="30" t="e">
        <f>MID(#REF!, 9, 2)</f>
        <v>#REF!</v>
      </c>
      <c r="C114" s="31" t="s">
        <v>30</v>
      </c>
      <c r="D114" s="32" t="s">
        <v>31</v>
      </c>
      <c r="E114" s="31" t="s">
        <v>32</v>
      </c>
      <c r="F114" s="35" t="e">
        <f>#REF!</f>
        <v>#REF!</v>
      </c>
      <c r="G114" s="31"/>
      <c r="H114" s="31"/>
      <c r="I114" s="31"/>
      <c r="J114" s="36"/>
      <c r="K114" s="36"/>
      <c r="L114" s="31" t="s">
        <v>84</v>
      </c>
      <c r="M114" s="53" t="e">
        <f>#REF!</f>
        <v>#REF!</v>
      </c>
      <c r="N114" s="31"/>
      <c r="O114" s="31" t="s">
        <v>56</v>
      </c>
    </row>
    <row r="115" spans="1:15" hidden="1" x14ac:dyDescent="0.4">
      <c r="A115" s="30" t="e">
        <f>MID(#REF!, 6, 2)</f>
        <v>#REF!</v>
      </c>
      <c r="B115" s="30" t="e">
        <f>MID(#REF!, 9, 2)</f>
        <v>#REF!</v>
      </c>
      <c r="C115" s="31" t="s">
        <v>30</v>
      </c>
      <c r="D115" s="32" t="s">
        <v>31</v>
      </c>
      <c r="E115" s="31" t="s">
        <v>63</v>
      </c>
      <c r="F115" s="35" t="e">
        <f>#REF!</f>
        <v>#REF!</v>
      </c>
      <c r="G115" s="31"/>
      <c r="H115" s="31"/>
      <c r="I115" s="31"/>
      <c r="J115" s="36"/>
      <c r="K115" s="36"/>
      <c r="L115" s="31" t="s">
        <v>132</v>
      </c>
      <c r="M115" s="53" t="e">
        <f>#REF!</f>
        <v>#REF!</v>
      </c>
      <c r="N115" s="31"/>
      <c r="O115" s="31" t="s">
        <v>56</v>
      </c>
    </row>
    <row r="116" spans="1:15" hidden="1" x14ac:dyDescent="0.4">
      <c r="A116" s="30" t="e">
        <f>MID(#REF!, 6, 2)</f>
        <v>#REF!</v>
      </c>
      <c r="B116" s="30" t="e">
        <f>MID(#REF!, 9, 2)</f>
        <v>#REF!</v>
      </c>
      <c r="C116" s="31" t="s">
        <v>30</v>
      </c>
      <c r="D116" s="32" t="s">
        <v>31</v>
      </c>
      <c r="E116" s="31" t="s">
        <v>51</v>
      </c>
      <c r="F116" s="35" t="e">
        <f>#REF!</f>
        <v>#REF!</v>
      </c>
      <c r="G116" s="31"/>
      <c r="H116" s="31"/>
      <c r="I116" s="31"/>
      <c r="J116" s="36"/>
      <c r="K116" s="36"/>
      <c r="L116" s="31" t="s">
        <v>52</v>
      </c>
      <c r="M116" s="53" t="e">
        <f>#REF!</f>
        <v>#REF!</v>
      </c>
      <c r="N116" s="31"/>
      <c r="O116" s="31" t="s">
        <v>56</v>
      </c>
    </row>
    <row r="117" spans="1:15" hidden="1" x14ac:dyDescent="0.4">
      <c r="A117" s="30" t="e">
        <f>MID(#REF!, 6, 2)</f>
        <v>#REF!</v>
      </c>
      <c r="B117" s="30" t="e">
        <f>MID(#REF!, 9, 2)</f>
        <v>#REF!</v>
      </c>
      <c r="C117" s="31" t="s">
        <v>30</v>
      </c>
      <c r="D117" s="32" t="s">
        <v>31</v>
      </c>
      <c r="E117" s="31" t="s">
        <v>51</v>
      </c>
      <c r="F117" s="35" t="e">
        <f>#REF!</f>
        <v>#REF!</v>
      </c>
      <c r="G117" s="31"/>
      <c r="H117" s="31"/>
      <c r="I117" s="31"/>
      <c r="J117" s="36"/>
      <c r="K117" s="36"/>
      <c r="L117" s="31" t="s">
        <v>133</v>
      </c>
      <c r="M117" s="53" t="e">
        <f>#REF!</f>
        <v>#REF!</v>
      </c>
      <c r="N117" s="31"/>
      <c r="O117" s="31" t="s">
        <v>56</v>
      </c>
    </row>
    <row r="118" spans="1:15" hidden="1" x14ac:dyDescent="0.4">
      <c r="A118" s="30" t="e">
        <f>MID(#REF!, 6, 2)</f>
        <v>#REF!</v>
      </c>
      <c r="B118" s="30" t="e">
        <f>MID(#REF!, 9, 2)</f>
        <v>#REF!</v>
      </c>
      <c r="C118" s="31" t="s">
        <v>30</v>
      </c>
      <c r="D118" s="32" t="s">
        <v>31</v>
      </c>
      <c r="E118" s="31" t="s">
        <v>32</v>
      </c>
      <c r="F118" s="35" t="e">
        <f>#REF!</f>
        <v>#REF!</v>
      </c>
      <c r="G118" s="31"/>
      <c r="H118" s="31"/>
      <c r="I118" s="31"/>
      <c r="J118" s="36"/>
      <c r="K118" s="36"/>
      <c r="L118" s="31" t="s">
        <v>134</v>
      </c>
      <c r="M118" s="53" t="e">
        <f>#REF!</f>
        <v>#REF!</v>
      </c>
      <c r="N118" s="31"/>
      <c r="O118" s="31" t="s">
        <v>56</v>
      </c>
    </row>
    <row r="119" spans="1:15" hidden="1" x14ac:dyDescent="0.4">
      <c r="A119" s="30" t="e">
        <f>MID(#REF!, 6, 2)</f>
        <v>#REF!</v>
      </c>
      <c r="B119" s="30" t="e">
        <f>MID(#REF!, 9, 2)</f>
        <v>#REF!</v>
      </c>
      <c r="C119" s="31" t="s">
        <v>30</v>
      </c>
      <c r="D119" s="32" t="s">
        <v>31</v>
      </c>
      <c r="E119" s="31" t="s">
        <v>32</v>
      </c>
      <c r="F119" s="35" t="e">
        <f>#REF!</f>
        <v>#REF!</v>
      </c>
      <c r="G119" s="31"/>
      <c r="H119" s="31"/>
      <c r="I119" s="31"/>
      <c r="J119" s="36"/>
      <c r="K119" s="36"/>
      <c r="L119" s="31" t="s">
        <v>33</v>
      </c>
      <c r="M119" s="53" t="e">
        <f>#REF!</f>
        <v>#REF!</v>
      </c>
      <c r="N119" s="31"/>
      <c r="O119" s="31" t="s">
        <v>56</v>
      </c>
    </row>
    <row r="120" spans="1:15" hidden="1" x14ac:dyDescent="0.4">
      <c r="A120" s="30" t="e">
        <f>MID(#REF!, 6, 2)</f>
        <v>#REF!</v>
      </c>
      <c r="B120" s="30" t="e">
        <f>MID(#REF!, 9, 2)</f>
        <v>#REF!</v>
      </c>
      <c r="C120" s="31" t="s">
        <v>30</v>
      </c>
      <c r="D120" s="32" t="s">
        <v>31</v>
      </c>
      <c r="E120" s="31" t="s">
        <v>32</v>
      </c>
      <c r="F120" s="35" t="e">
        <f>#REF!</f>
        <v>#REF!</v>
      </c>
      <c r="G120" s="31"/>
      <c r="H120" s="31"/>
      <c r="I120" s="31"/>
      <c r="J120" s="36"/>
      <c r="K120" s="36"/>
      <c r="L120" s="31" t="s">
        <v>124</v>
      </c>
      <c r="M120" s="53" t="e">
        <f>#REF!</f>
        <v>#REF!</v>
      </c>
      <c r="N120" s="31"/>
      <c r="O120" s="31" t="s">
        <v>56</v>
      </c>
    </row>
    <row r="121" spans="1:15" hidden="1" x14ac:dyDescent="0.4">
      <c r="A121" s="30" t="str">
        <f>MID([1]이용내역조회!B2, 6, 2)</f>
        <v>12</v>
      </c>
      <c r="B121" s="30" t="str">
        <f>MID([1]이용내역조회!B2, 9, 2)</f>
        <v>02</v>
      </c>
      <c r="C121" s="31" t="s">
        <v>30</v>
      </c>
      <c r="D121" s="32" t="s">
        <v>31</v>
      </c>
      <c r="E121" s="31" t="s">
        <v>32</v>
      </c>
      <c r="F121" s="35">
        <f>[1]이용내역조회!K2</f>
        <v>38600</v>
      </c>
      <c r="G121" s="31"/>
      <c r="H121" s="31"/>
      <c r="I121" s="31"/>
      <c r="J121" s="36"/>
      <c r="K121" s="36"/>
      <c r="L121" s="31" t="s">
        <v>124</v>
      </c>
      <c r="M121" s="53" t="s">
        <v>135</v>
      </c>
      <c r="N121" s="31"/>
      <c r="O121" s="31" t="s">
        <v>56</v>
      </c>
    </row>
    <row r="122" spans="1:15" hidden="1" x14ac:dyDescent="0.4">
      <c r="A122" s="30" t="str">
        <f>MID([1]이용내역조회!B3, 6, 2)</f>
        <v>12</v>
      </c>
      <c r="B122" s="30" t="str">
        <f>MID([1]이용내역조회!B3, 9, 2)</f>
        <v>02</v>
      </c>
      <c r="C122" s="31" t="s">
        <v>30</v>
      </c>
      <c r="D122" s="32" t="s">
        <v>31</v>
      </c>
      <c r="E122" s="31" t="s">
        <v>51</v>
      </c>
      <c r="F122" s="35">
        <f>[1]이용내역조회!K3</f>
        <v>84160</v>
      </c>
      <c r="G122" s="31"/>
      <c r="H122" s="31"/>
      <c r="I122" s="31"/>
      <c r="J122" s="36"/>
      <c r="K122" s="36"/>
      <c r="L122" s="31" t="s">
        <v>136</v>
      </c>
      <c r="M122" s="53" t="s">
        <v>137</v>
      </c>
      <c r="N122" s="31"/>
      <c r="O122" s="31" t="s">
        <v>56</v>
      </c>
    </row>
    <row r="123" spans="1:15" hidden="1" x14ac:dyDescent="0.4">
      <c r="A123" s="30" t="str">
        <f>MID([1]이용내역조회!B4, 6, 2)</f>
        <v>12</v>
      </c>
      <c r="B123" s="30" t="str">
        <f>MID([1]이용내역조회!B4, 9, 2)</f>
        <v>04</v>
      </c>
      <c r="C123" s="31" t="s">
        <v>30</v>
      </c>
      <c r="D123" s="32" t="s">
        <v>31</v>
      </c>
      <c r="E123" s="31" t="s">
        <v>32</v>
      </c>
      <c r="F123" s="35">
        <f>[1]이용내역조회!K4</f>
        <v>11500</v>
      </c>
      <c r="G123" s="31"/>
      <c r="H123" s="31"/>
      <c r="I123" s="31"/>
      <c r="J123" s="36"/>
      <c r="K123" s="36"/>
      <c r="L123" s="31" t="s">
        <v>138</v>
      </c>
      <c r="M123" s="53" t="s">
        <v>139</v>
      </c>
      <c r="N123" s="31"/>
      <c r="O123" s="31" t="s">
        <v>56</v>
      </c>
    </row>
    <row r="124" spans="1:15" hidden="1" x14ac:dyDescent="0.4">
      <c r="A124" s="30" t="str">
        <f>MID([1]이용내역조회!B5, 6, 2)</f>
        <v>12</v>
      </c>
      <c r="B124" s="30" t="str">
        <f>MID([1]이용내역조회!B5, 9, 2)</f>
        <v>04</v>
      </c>
      <c r="C124" s="31" t="s">
        <v>30</v>
      </c>
      <c r="D124" s="32" t="s">
        <v>31</v>
      </c>
      <c r="E124" s="31" t="s">
        <v>51</v>
      </c>
      <c r="F124" s="35">
        <f>[1]이용내역조회!K5</f>
        <v>84160</v>
      </c>
      <c r="G124" s="31"/>
      <c r="H124" s="31"/>
      <c r="I124" s="31"/>
      <c r="J124" s="36"/>
      <c r="K124" s="36"/>
      <c r="L124" s="31" t="s">
        <v>140</v>
      </c>
      <c r="M124" s="53" t="s">
        <v>137</v>
      </c>
      <c r="N124" s="31"/>
      <c r="O124" s="31" t="s">
        <v>56</v>
      </c>
    </row>
    <row r="125" spans="1:15" hidden="1" x14ac:dyDescent="0.4">
      <c r="A125" s="30" t="str">
        <f>MID([1]이용내역조회!B6, 6, 2)</f>
        <v>12</v>
      </c>
      <c r="B125" s="30" t="str">
        <f>MID([1]이용내역조회!B6, 9, 2)</f>
        <v>04</v>
      </c>
      <c r="C125" s="31" t="s">
        <v>30</v>
      </c>
      <c r="D125" s="32" t="s">
        <v>31</v>
      </c>
      <c r="E125" s="31" t="s">
        <v>51</v>
      </c>
      <c r="F125" s="35">
        <f>[1]이용내역조회!K6</f>
        <v>84314</v>
      </c>
      <c r="G125" s="31"/>
      <c r="H125" s="31"/>
      <c r="I125" s="31"/>
      <c r="J125" s="36"/>
      <c r="K125" s="36"/>
      <c r="L125" s="31" t="s">
        <v>141</v>
      </c>
      <c r="M125" s="53" t="s">
        <v>137</v>
      </c>
      <c r="N125" s="31"/>
      <c r="O125" s="31" t="s">
        <v>56</v>
      </c>
    </row>
    <row r="126" spans="1:15" hidden="1" x14ac:dyDescent="0.4">
      <c r="A126" s="30" t="str">
        <f>MID([1]이용내역조회!B7, 6, 2)</f>
        <v>12</v>
      </c>
      <c r="B126" s="30" t="str">
        <f>MID([1]이용내역조회!B7, 9, 2)</f>
        <v>05</v>
      </c>
      <c r="C126" s="31" t="s">
        <v>30</v>
      </c>
      <c r="D126" s="32" t="s">
        <v>31</v>
      </c>
      <c r="E126" s="31" t="s">
        <v>32</v>
      </c>
      <c r="F126" s="35">
        <f>[1]이용내역조회!K7</f>
        <v>10500</v>
      </c>
      <c r="G126" s="31"/>
      <c r="H126" s="31"/>
      <c r="I126" s="31"/>
      <c r="J126" s="36"/>
      <c r="K126" s="36"/>
      <c r="L126" s="31" t="s">
        <v>142</v>
      </c>
      <c r="M126" s="53" t="s">
        <v>135</v>
      </c>
      <c r="N126" s="31"/>
      <c r="O126" s="31" t="s">
        <v>56</v>
      </c>
    </row>
    <row r="127" spans="1:15" hidden="1" x14ac:dyDescent="0.4">
      <c r="A127" s="30" t="str">
        <f>MID([1]이용내역조회!B8, 6, 2)</f>
        <v>12</v>
      </c>
      <c r="B127" s="30" t="str">
        <f>MID([1]이용내역조회!B8, 9, 2)</f>
        <v>12</v>
      </c>
      <c r="C127" s="31" t="s">
        <v>30</v>
      </c>
      <c r="D127" s="32" t="s">
        <v>31</v>
      </c>
      <c r="E127" s="31" t="s">
        <v>143</v>
      </c>
      <c r="F127" s="35">
        <f>[1]이용내역조회!K8</f>
        <v>554927</v>
      </c>
      <c r="G127" s="31"/>
      <c r="H127" s="31"/>
      <c r="I127" s="31"/>
      <c r="J127" s="36"/>
      <c r="K127" s="36"/>
      <c r="L127" s="31" t="s">
        <v>144</v>
      </c>
      <c r="M127" s="53" t="s">
        <v>145</v>
      </c>
      <c r="N127" s="31"/>
      <c r="O127" s="31" t="s">
        <v>56</v>
      </c>
    </row>
    <row r="128" spans="1:15" hidden="1" x14ac:dyDescent="0.4">
      <c r="A128" s="30" t="str">
        <f>MID([1]이용내역조회!B9, 6, 2)</f>
        <v>12</v>
      </c>
      <c r="B128" s="30" t="str">
        <f>MID([1]이용내역조회!B9, 9, 2)</f>
        <v>15</v>
      </c>
      <c r="C128" s="31" t="s">
        <v>30</v>
      </c>
      <c r="D128" s="32" t="s">
        <v>31</v>
      </c>
      <c r="E128" s="31" t="s">
        <v>32</v>
      </c>
      <c r="F128" s="35">
        <f>[1]이용내역조회!K9</f>
        <v>20400</v>
      </c>
      <c r="G128" s="31"/>
      <c r="H128" s="31"/>
      <c r="I128" s="31"/>
      <c r="J128" s="36"/>
      <c r="K128" s="36"/>
      <c r="L128" s="31" t="s">
        <v>84</v>
      </c>
      <c r="M128" s="53" t="s">
        <v>135</v>
      </c>
      <c r="N128" s="31"/>
      <c r="O128" s="31" t="s">
        <v>56</v>
      </c>
    </row>
    <row r="129" spans="1:15" hidden="1" x14ac:dyDescent="0.4">
      <c r="A129" s="30" t="str">
        <f>MID([1]이용내역조회!B10, 6, 2)</f>
        <v>12</v>
      </c>
      <c r="B129" s="30" t="str">
        <f>MID([1]이용내역조회!B10, 9, 2)</f>
        <v>16</v>
      </c>
      <c r="C129" s="31" t="s">
        <v>30</v>
      </c>
      <c r="D129" s="32" t="s">
        <v>31</v>
      </c>
      <c r="E129" s="31" t="s">
        <v>32</v>
      </c>
      <c r="F129" s="35">
        <f>[1]이용내역조회!K10</f>
        <v>21000</v>
      </c>
      <c r="G129" s="31"/>
      <c r="H129" s="31"/>
      <c r="I129" s="31"/>
      <c r="J129" s="36"/>
      <c r="K129" s="36"/>
      <c r="L129" s="31" t="s">
        <v>35</v>
      </c>
      <c r="M129" s="53" t="s">
        <v>146</v>
      </c>
      <c r="N129" s="31"/>
      <c r="O129" s="31" t="s">
        <v>56</v>
      </c>
    </row>
    <row r="130" spans="1:15" hidden="1" x14ac:dyDescent="0.4">
      <c r="A130" s="30" t="str">
        <f>MID([1]이용내역조회!B11, 6, 2)</f>
        <v>12</v>
      </c>
      <c r="B130" s="30" t="str">
        <f>MID([1]이용내역조회!B11, 9, 2)</f>
        <v>17</v>
      </c>
      <c r="C130" s="31" t="s">
        <v>30</v>
      </c>
      <c r="D130" s="32" t="s">
        <v>31</v>
      </c>
      <c r="E130" s="31" t="s">
        <v>32</v>
      </c>
      <c r="F130" s="35">
        <f>[1]이용내역조회!K11</f>
        <v>19800</v>
      </c>
      <c r="G130" s="31"/>
      <c r="H130" s="31"/>
      <c r="I130" s="31"/>
      <c r="J130" s="36"/>
      <c r="K130" s="36"/>
      <c r="L130" s="31" t="s">
        <v>84</v>
      </c>
      <c r="M130" s="53" t="s">
        <v>62</v>
      </c>
      <c r="N130" s="31"/>
      <c r="O130" s="31" t="s">
        <v>56</v>
      </c>
    </row>
    <row r="131" spans="1:15" hidden="1" x14ac:dyDescent="0.4">
      <c r="A131" s="30" t="str">
        <f>MID([1]이용내역조회!B12, 6, 2)</f>
        <v>12</v>
      </c>
      <c r="B131" s="30" t="str">
        <f>MID([1]이용내역조회!B12, 9, 2)</f>
        <v>17</v>
      </c>
      <c r="C131" s="31" t="s">
        <v>30</v>
      </c>
      <c r="D131" s="32" t="s">
        <v>31</v>
      </c>
      <c r="E131" s="31" t="s">
        <v>147</v>
      </c>
      <c r="F131" s="35">
        <f>[1]이용내역조회!K12</f>
        <v>330000</v>
      </c>
      <c r="G131" s="31"/>
      <c r="H131" s="31"/>
      <c r="I131" s="31"/>
      <c r="J131" s="36"/>
      <c r="K131" s="36"/>
      <c r="L131" s="31" t="s">
        <v>148</v>
      </c>
      <c r="M131" s="53" t="s">
        <v>149</v>
      </c>
      <c r="N131" s="31"/>
      <c r="O131" s="31" t="s">
        <v>56</v>
      </c>
    </row>
    <row r="132" spans="1:15" hidden="1" x14ac:dyDescent="0.4">
      <c r="A132" s="30" t="str">
        <f>MID([1]이용내역조회!B13, 6, 2)</f>
        <v>12</v>
      </c>
      <c r="B132" s="30" t="str">
        <f>MID([1]이용내역조회!B13, 9, 2)</f>
        <v>19</v>
      </c>
      <c r="C132" s="31" t="s">
        <v>30</v>
      </c>
      <c r="D132" s="32" t="s">
        <v>31</v>
      </c>
      <c r="E132" s="31" t="s">
        <v>32</v>
      </c>
      <c r="F132" s="35">
        <f>[1]이용내역조회!K13</f>
        <v>9000</v>
      </c>
      <c r="G132" s="31"/>
      <c r="H132" s="31"/>
      <c r="I132" s="31"/>
      <c r="J132" s="36"/>
      <c r="K132" s="36"/>
      <c r="L132" s="31" t="s">
        <v>66</v>
      </c>
      <c r="M132" s="53" t="s">
        <v>150</v>
      </c>
      <c r="N132" s="31"/>
      <c r="O132" s="31" t="s">
        <v>56</v>
      </c>
    </row>
    <row r="133" spans="1:15" hidden="1" x14ac:dyDescent="0.4">
      <c r="A133" s="30" t="str">
        <f>MID([1]이용내역조회!B14, 6, 2)</f>
        <v>12</v>
      </c>
      <c r="B133" s="30" t="str">
        <f>MID([1]이용내역조회!B14, 9, 2)</f>
        <v>23</v>
      </c>
      <c r="C133" s="31" t="s">
        <v>30</v>
      </c>
      <c r="D133" s="32" t="s">
        <v>31</v>
      </c>
      <c r="E133" s="31" t="s">
        <v>89</v>
      </c>
      <c r="F133" s="35">
        <f>[1]이용내역조회!K14</f>
        <v>25000</v>
      </c>
      <c r="G133" s="31"/>
      <c r="H133" s="31"/>
      <c r="I133" s="31"/>
      <c r="J133" s="36"/>
      <c r="K133" s="36"/>
      <c r="L133" s="31" t="s">
        <v>151</v>
      </c>
      <c r="M133" s="53" t="s">
        <v>152</v>
      </c>
      <c r="N133" s="31"/>
      <c r="O133" s="31" t="s">
        <v>56</v>
      </c>
    </row>
    <row r="134" spans="1:15" hidden="1" x14ac:dyDescent="0.4">
      <c r="A134" s="30" t="str">
        <f>MID([1]이용내역조회!B15, 6, 2)</f>
        <v>12</v>
      </c>
      <c r="B134" s="30" t="str">
        <f>MID([1]이용내역조회!B15, 9, 2)</f>
        <v>24</v>
      </c>
      <c r="C134" s="31" t="s">
        <v>30</v>
      </c>
      <c r="D134" s="32" t="s">
        <v>31</v>
      </c>
      <c r="E134" s="31" t="s">
        <v>120</v>
      </c>
      <c r="F134" s="35">
        <f>[1]이용내역조회!K15</f>
        <v>1327000</v>
      </c>
      <c r="G134" s="31"/>
      <c r="H134" s="31"/>
      <c r="I134" s="31"/>
      <c r="J134" s="36"/>
      <c r="K134" s="36"/>
      <c r="L134" s="31" t="s">
        <v>153</v>
      </c>
      <c r="M134" s="53" t="s">
        <v>154</v>
      </c>
      <c r="N134" s="31"/>
      <c r="O134" s="31" t="s">
        <v>56</v>
      </c>
    </row>
    <row r="135" spans="1:15" hidden="1" x14ac:dyDescent="0.4">
      <c r="A135" s="30" t="str">
        <f>MID([1]이용내역조회!B16, 6, 2)</f>
        <v>12</v>
      </c>
      <c r="B135" s="30" t="str">
        <f>MID([1]이용내역조회!B16, 9, 2)</f>
        <v>26</v>
      </c>
      <c r="C135" s="31" t="s">
        <v>30</v>
      </c>
      <c r="D135" s="32" t="s">
        <v>31</v>
      </c>
      <c r="E135" s="31" t="s">
        <v>155</v>
      </c>
      <c r="F135" s="35">
        <f>[1]이용내역조회!K16</f>
        <v>34340</v>
      </c>
      <c r="G135" s="31"/>
      <c r="H135" s="31"/>
      <c r="I135" s="31"/>
      <c r="J135" s="36"/>
      <c r="K135" s="36"/>
      <c r="L135" s="31" t="s">
        <v>156</v>
      </c>
      <c r="M135" s="53" t="s">
        <v>157</v>
      </c>
      <c r="N135" s="31"/>
      <c r="O135" s="31" t="s">
        <v>56</v>
      </c>
    </row>
    <row r="136" spans="1:15" hidden="1" x14ac:dyDescent="0.4">
      <c r="A136" s="30" t="str">
        <f>MID([1]이용내역조회!B17, 6, 2)</f>
        <v>12</v>
      </c>
      <c r="B136" s="30" t="str">
        <f>MID([1]이용내역조회!B17, 9, 2)</f>
        <v>26</v>
      </c>
      <c r="C136" s="31" t="s">
        <v>30</v>
      </c>
      <c r="D136" s="32" t="s">
        <v>31</v>
      </c>
      <c r="E136" s="31" t="s">
        <v>51</v>
      </c>
      <c r="F136" s="35">
        <f>[1]이용내역조회!K17</f>
        <v>19894</v>
      </c>
      <c r="G136" s="31"/>
      <c r="H136" s="31"/>
      <c r="I136" s="31"/>
      <c r="J136" s="36"/>
      <c r="K136" s="36"/>
      <c r="L136" s="31" t="s">
        <v>52</v>
      </c>
      <c r="M136" s="53" t="s">
        <v>158</v>
      </c>
      <c r="N136" s="31"/>
      <c r="O136" s="31" t="s">
        <v>56</v>
      </c>
    </row>
    <row r="137" spans="1:15" hidden="1" x14ac:dyDescent="0.4">
      <c r="A137" s="30" t="str">
        <f>MID([1]이용내역조회!B18, 6, 2)</f>
        <v>12</v>
      </c>
      <c r="B137" s="30" t="str">
        <f>MID([1]이용내역조회!B18, 9, 2)</f>
        <v>29</v>
      </c>
      <c r="C137" s="31" t="s">
        <v>30</v>
      </c>
      <c r="D137" s="32" t="s">
        <v>31</v>
      </c>
      <c r="E137" s="31" t="s">
        <v>89</v>
      </c>
      <c r="F137" s="35">
        <f>[1]이용내역조회!K18</f>
        <v>1000</v>
      </c>
      <c r="G137" s="31"/>
      <c r="H137" s="31"/>
      <c r="I137" s="31"/>
      <c r="J137" s="36"/>
      <c r="K137" s="36"/>
      <c r="L137" s="31" t="s">
        <v>159</v>
      </c>
      <c r="M137" s="53" t="s">
        <v>160</v>
      </c>
      <c r="N137" s="31"/>
      <c r="O137" s="31" t="s">
        <v>56</v>
      </c>
    </row>
    <row r="138" spans="1:15" hidden="1" x14ac:dyDescent="0.4">
      <c r="A138" s="30" t="str">
        <f>MID([1]이용내역조회!B19, 6, 2)</f>
        <v>12</v>
      </c>
      <c r="B138" s="30" t="str">
        <f>MID([1]이용내역조회!B19, 9, 2)</f>
        <v>29</v>
      </c>
      <c r="C138" s="31" t="s">
        <v>30</v>
      </c>
      <c r="D138" s="32" t="s">
        <v>31</v>
      </c>
      <c r="E138" s="31" t="s">
        <v>120</v>
      </c>
      <c r="F138" s="35">
        <f>[1]이용내역조회!K19</f>
        <v>417000</v>
      </c>
      <c r="G138" s="31"/>
      <c r="H138" s="31"/>
      <c r="I138" s="31"/>
      <c r="J138" s="36"/>
      <c r="K138" s="36"/>
      <c r="L138" s="31" t="s">
        <v>161</v>
      </c>
      <c r="M138" s="54" t="s">
        <v>162</v>
      </c>
      <c r="N138" s="31"/>
      <c r="O138" s="31" t="s">
        <v>56</v>
      </c>
    </row>
    <row r="139" spans="1:15" hidden="1" x14ac:dyDescent="0.4">
      <c r="A139" s="30" t="str">
        <f>MID([1]이용내역조회!B20, 6, 2)</f>
        <v>12</v>
      </c>
      <c r="B139" s="30" t="str">
        <f>MID([1]이용내역조회!B20, 9, 2)</f>
        <v>29</v>
      </c>
      <c r="C139" s="31" t="s">
        <v>30</v>
      </c>
      <c r="D139" s="32" t="s">
        <v>31</v>
      </c>
      <c r="E139" s="31" t="s">
        <v>32</v>
      </c>
      <c r="F139" s="35">
        <f>[1]이용내역조회!K20</f>
        <v>51000</v>
      </c>
      <c r="G139" s="31"/>
      <c r="H139" s="31"/>
      <c r="I139" s="31"/>
      <c r="J139" s="36"/>
      <c r="K139" s="36"/>
      <c r="L139" s="31" t="s">
        <v>163</v>
      </c>
      <c r="M139" s="54" t="s">
        <v>164</v>
      </c>
      <c r="N139" s="31"/>
      <c r="O139" s="31" t="s">
        <v>56</v>
      </c>
    </row>
    <row r="140" spans="1:15" hidden="1" x14ac:dyDescent="0.4">
      <c r="A140" s="30" t="str">
        <f>MID([1]이용내역조회!B21, 6, 2)</f>
        <v>12</v>
      </c>
      <c r="B140" s="30" t="str">
        <f>MID([1]이용내역조회!B21, 9, 2)</f>
        <v>29</v>
      </c>
      <c r="C140" s="31" t="s">
        <v>30</v>
      </c>
      <c r="D140" s="32" t="s">
        <v>31</v>
      </c>
      <c r="E140" s="31" t="s">
        <v>120</v>
      </c>
      <c r="F140" s="35">
        <f>[1]이용내역조회!K21</f>
        <v>29450</v>
      </c>
      <c r="G140" s="31"/>
      <c r="H140" s="31"/>
      <c r="I140" s="31"/>
      <c r="J140" s="36"/>
      <c r="K140" s="36"/>
      <c r="L140" s="31" t="s">
        <v>165</v>
      </c>
      <c r="M140" s="54" t="s">
        <v>166</v>
      </c>
      <c r="N140" s="31"/>
      <c r="O140" s="31" t="s">
        <v>56</v>
      </c>
    </row>
    <row r="141" spans="1:15" hidden="1" x14ac:dyDescent="0.4">
      <c r="A141" s="30" t="str">
        <f>MID([1]이용내역조회!B22, 6, 2)</f>
        <v>12</v>
      </c>
      <c r="B141" s="30" t="str">
        <f>MID([1]이용내역조회!B22, 9, 2)</f>
        <v>30</v>
      </c>
      <c r="C141" s="31" t="s">
        <v>30</v>
      </c>
      <c r="D141" s="32" t="s">
        <v>31</v>
      </c>
      <c r="E141" s="31" t="s">
        <v>32</v>
      </c>
      <c r="F141" s="35">
        <f>[1]이용내역조회!K22</f>
        <v>28000</v>
      </c>
      <c r="G141" s="31"/>
      <c r="H141" s="31"/>
      <c r="I141" s="31"/>
      <c r="J141" s="36"/>
      <c r="K141" s="36"/>
      <c r="L141" s="31" t="s">
        <v>167</v>
      </c>
      <c r="M141" s="54" t="s">
        <v>58</v>
      </c>
      <c r="N141" s="31"/>
      <c r="O141" s="31" t="s">
        <v>56</v>
      </c>
    </row>
    <row r="142" spans="1:15" x14ac:dyDescent="0.4">
      <c r="A142" s="30" t="str">
        <f>MID([1]이용내역조회!B23, 6, 2)</f>
        <v>01</v>
      </c>
      <c r="B142" s="30" t="str">
        <f>MID([1]이용내역조회!B23, 9, 2)</f>
        <v>02</v>
      </c>
      <c r="C142" s="31" t="s">
        <v>30</v>
      </c>
      <c r="D142" s="32" t="s">
        <v>31</v>
      </c>
      <c r="E142" s="31" t="s">
        <v>32</v>
      </c>
      <c r="F142" s="35">
        <f>[1]이용내역조회!K23</f>
        <v>30500</v>
      </c>
      <c r="G142" s="31"/>
      <c r="H142" s="31"/>
      <c r="I142" s="31"/>
      <c r="J142" s="36"/>
      <c r="K142" s="36"/>
      <c r="L142" s="31" t="s">
        <v>84</v>
      </c>
      <c r="M142" s="54" t="s">
        <v>168</v>
      </c>
      <c r="N142" s="31"/>
      <c r="O142" s="31" t="s">
        <v>56</v>
      </c>
    </row>
    <row r="143" spans="1:15" x14ac:dyDescent="0.4">
      <c r="A143" s="30" t="str">
        <f>MID([1]이용내역조회!B24, 6, 2)</f>
        <v>01</v>
      </c>
      <c r="B143" s="30" t="str">
        <f>MID([1]이용내역조회!B24, 9, 2)</f>
        <v>02</v>
      </c>
      <c r="C143" s="31" t="s">
        <v>30</v>
      </c>
      <c r="D143" s="32" t="s">
        <v>31</v>
      </c>
      <c r="E143" s="31" t="s">
        <v>89</v>
      </c>
      <c r="F143" s="35">
        <f>[1]이용내역조회!K24</f>
        <v>4500</v>
      </c>
      <c r="G143" s="31"/>
      <c r="H143" s="31"/>
      <c r="I143" s="31"/>
      <c r="J143" s="36"/>
      <c r="K143" s="36"/>
      <c r="L143" s="31" t="s">
        <v>169</v>
      </c>
      <c r="M143" s="54" t="s">
        <v>170</v>
      </c>
      <c r="N143" s="31"/>
      <c r="O143" s="31" t="s">
        <v>56</v>
      </c>
    </row>
    <row r="144" spans="1:15" x14ac:dyDescent="0.4">
      <c r="A144" s="30" t="str">
        <f>MID([1]이용내역조회!B25, 6, 2)</f>
        <v>01</v>
      </c>
      <c r="B144" s="30" t="str">
        <f>MID([1]이용내역조회!B25, 9, 2)</f>
        <v>02</v>
      </c>
      <c r="C144" s="31" t="s">
        <v>30</v>
      </c>
      <c r="D144" s="32" t="s">
        <v>31</v>
      </c>
      <c r="E144" s="31" t="s">
        <v>51</v>
      </c>
      <c r="F144" s="35">
        <f>[1]이용내역조회!K25</f>
        <v>156293</v>
      </c>
      <c r="G144" s="31"/>
      <c r="H144" s="31"/>
      <c r="I144" s="31"/>
      <c r="J144" s="36"/>
      <c r="K144" s="36"/>
      <c r="L144" s="31" t="s">
        <v>171</v>
      </c>
      <c r="M144" s="54" t="s">
        <v>172</v>
      </c>
      <c r="N144" s="31"/>
      <c r="O144" s="31" t="s">
        <v>56</v>
      </c>
    </row>
    <row r="145" spans="1:15" x14ac:dyDescent="0.4">
      <c r="A145" s="30" t="str">
        <f>MID([1]이용내역조회!B26, 6, 2)</f>
        <v>01</v>
      </c>
      <c r="B145" s="30" t="str">
        <f>MID([1]이용내역조회!B26, 9, 2)</f>
        <v>04</v>
      </c>
      <c r="C145" s="31" t="s">
        <v>30</v>
      </c>
      <c r="D145" s="32" t="s">
        <v>31</v>
      </c>
      <c r="E145" s="31" t="s">
        <v>173</v>
      </c>
      <c r="F145" s="35">
        <f>[1]이용내역조회!K26</f>
        <v>20000</v>
      </c>
      <c r="G145" s="31"/>
      <c r="H145" s="31"/>
      <c r="I145" s="31"/>
      <c r="J145" s="36"/>
      <c r="K145" s="36"/>
      <c r="L145" s="31" t="s">
        <v>174</v>
      </c>
      <c r="M145" s="54" t="s">
        <v>162</v>
      </c>
      <c r="N145" s="31"/>
      <c r="O145" s="31" t="s">
        <v>56</v>
      </c>
    </row>
    <row r="146" spans="1:15" x14ac:dyDescent="0.4">
      <c r="A146" s="30" t="str">
        <f>MID([1]이용내역조회!B27, 6, 2)</f>
        <v>01</v>
      </c>
      <c r="B146" s="30" t="str">
        <f>MID([1]이용내역조회!B27, 9, 2)</f>
        <v>05</v>
      </c>
      <c r="C146" s="31" t="s">
        <v>30</v>
      </c>
      <c r="D146" s="32" t="s">
        <v>31</v>
      </c>
      <c r="E146" s="31" t="s">
        <v>120</v>
      </c>
      <c r="F146" s="35">
        <f>[1]이용내역조회!K27</f>
        <v>406500</v>
      </c>
      <c r="G146" s="31"/>
      <c r="H146" s="31"/>
      <c r="I146" s="31"/>
      <c r="J146" s="36"/>
      <c r="K146" s="36"/>
      <c r="L146" s="31" t="s">
        <v>175</v>
      </c>
      <c r="M146" s="54" t="s">
        <v>176</v>
      </c>
      <c r="N146" s="31"/>
      <c r="O146" s="31" t="s">
        <v>56</v>
      </c>
    </row>
    <row r="147" spans="1:15" x14ac:dyDescent="0.4">
      <c r="A147" s="30" t="str">
        <f>MID([1]이용내역조회!B28, 6, 2)</f>
        <v>01</v>
      </c>
      <c r="B147" s="30" t="str">
        <f>MID([1]이용내역조회!B28, 9, 2)</f>
        <v>06</v>
      </c>
      <c r="C147" s="31" t="s">
        <v>30</v>
      </c>
      <c r="D147" s="32" t="s">
        <v>31</v>
      </c>
      <c r="E147" s="31" t="s">
        <v>32</v>
      </c>
      <c r="F147" s="35">
        <f>[1]이용내역조회!K28</f>
        <v>45800</v>
      </c>
      <c r="G147" s="31"/>
      <c r="H147" s="31"/>
      <c r="I147" s="31"/>
      <c r="J147" s="36"/>
      <c r="K147" s="36"/>
      <c r="L147" s="31" t="s">
        <v>177</v>
      </c>
      <c r="M147" s="54" t="s">
        <v>62</v>
      </c>
      <c r="N147" s="31"/>
      <c r="O147" s="31" t="s">
        <v>56</v>
      </c>
    </row>
    <row r="148" spans="1:15" x14ac:dyDescent="0.4">
      <c r="A148" s="30" t="str">
        <f>MID([1]이용내역조회!B29, 6, 2)</f>
        <v>01</v>
      </c>
      <c r="B148" s="30" t="str">
        <f>MID([1]이용내역조회!B29, 9, 2)</f>
        <v>06</v>
      </c>
      <c r="C148" s="31" t="s">
        <v>30</v>
      </c>
      <c r="D148" s="32" t="s">
        <v>31</v>
      </c>
      <c r="E148" s="31" t="s">
        <v>32</v>
      </c>
      <c r="F148" s="35">
        <f>[1]이용내역조회!K29</f>
        <v>16186</v>
      </c>
      <c r="G148" s="31"/>
      <c r="H148" s="31"/>
      <c r="I148" s="31"/>
      <c r="J148" s="36"/>
      <c r="K148" s="36"/>
      <c r="L148" s="31" t="s">
        <v>99</v>
      </c>
      <c r="M148" s="54" t="s">
        <v>178</v>
      </c>
      <c r="N148" s="31"/>
      <c r="O148" s="31" t="s">
        <v>56</v>
      </c>
    </row>
    <row r="149" spans="1:15" x14ac:dyDescent="0.4">
      <c r="A149" s="30" t="str">
        <f>MID([1]이용내역조회!B30, 6, 2)</f>
        <v>01</v>
      </c>
      <c r="B149" s="30" t="str">
        <f>MID([1]이용내역조회!B30, 9, 2)</f>
        <v>07</v>
      </c>
      <c r="C149" s="31" t="s">
        <v>30</v>
      </c>
      <c r="D149" s="32" t="s">
        <v>31</v>
      </c>
      <c r="E149" s="31" t="s">
        <v>32</v>
      </c>
      <c r="F149" s="35">
        <f>[1]이용내역조회!K30</f>
        <v>34500</v>
      </c>
      <c r="G149" s="31"/>
      <c r="H149" s="31"/>
      <c r="I149" s="31"/>
      <c r="J149" s="36"/>
      <c r="K149" s="36"/>
      <c r="L149" s="31" t="s">
        <v>177</v>
      </c>
      <c r="M149" s="54" t="s">
        <v>179</v>
      </c>
      <c r="N149" s="31"/>
      <c r="O149" s="31" t="s">
        <v>56</v>
      </c>
    </row>
    <row r="150" spans="1:15" x14ac:dyDescent="0.4">
      <c r="A150" s="30" t="str">
        <f>MID([1]이용내역조회!B31, 6, 2)</f>
        <v>01</v>
      </c>
      <c r="B150" s="30" t="str">
        <f>MID([1]이용내역조회!B31, 9, 2)</f>
        <v>07</v>
      </c>
      <c r="C150" s="31" t="s">
        <v>30</v>
      </c>
      <c r="D150" s="32" t="s">
        <v>31</v>
      </c>
      <c r="E150" s="31" t="s">
        <v>32</v>
      </c>
      <c r="F150" s="35">
        <f>[1]이용내역조회!K31</f>
        <v>23000</v>
      </c>
      <c r="G150" s="31"/>
      <c r="H150" s="31"/>
      <c r="I150" s="31"/>
      <c r="J150" s="36"/>
      <c r="K150" s="36"/>
      <c r="L150" s="31" t="s">
        <v>35</v>
      </c>
      <c r="M150" s="54" t="s">
        <v>58</v>
      </c>
      <c r="N150" s="31"/>
      <c r="O150" s="31" t="s">
        <v>56</v>
      </c>
    </row>
    <row r="151" spans="1:15" x14ac:dyDescent="0.4">
      <c r="A151" s="30" t="str">
        <f>MID([1]이용내역조회!B32, 6, 2)</f>
        <v>01</v>
      </c>
      <c r="B151" s="30" t="str">
        <f>MID([1]이용내역조회!B32, 9, 2)</f>
        <v>07</v>
      </c>
      <c r="C151" s="31" t="s">
        <v>30</v>
      </c>
      <c r="D151" s="32" t="s">
        <v>31</v>
      </c>
      <c r="E151" s="31" t="s">
        <v>63</v>
      </c>
      <c r="F151" s="35">
        <f>[1]이용내역조회!K32</f>
        <v>29800</v>
      </c>
      <c r="G151" s="31"/>
      <c r="H151" s="31"/>
      <c r="I151" s="31"/>
      <c r="J151" s="36"/>
      <c r="K151" s="36"/>
      <c r="L151" s="31" t="s">
        <v>180</v>
      </c>
      <c r="M151" s="54" t="s">
        <v>164</v>
      </c>
      <c r="N151" s="31"/>
      <c r="O151" s="31" t="s">
        <v>56</v>
      </c>
    </row>
    <row r="152" spans="1:15" x14ac:dyDescent="0.4">
      <c r="A152" s="30" t="str">
        <f>MID([1]이용내역조회!B33, 6, 2)</f>
        <v>01</v>
      </c>
      <c r="B152" s="30" t="str">
        <f>MID([1]이용내역조회!B33, 9, 2)</f>
        <v>12</v>
      </c>
      <c r="C152" s="31" t="s">
        <v>30</v>
      </c>
      <c r="D152" s="32" t="s">
        <v>31</v>
      </c>
      <c r="E152" s="31" t="s">
        <v>32</v>
      </c>
      <c r="F152" s="35">
        <f>[1]이용내역조회!K33</f>
        <v>34000</v>
      </c>
      <c r="G152" s="31"/>
      <c r="H152" s="31"/>
      <c r="I152" s="31"/>
      <c r="J152" s="36"/>
      <c r="K152" s="36"/>
      <c r="L152" s="31" t="s">
        <v>85</v>
      </c>
      <c r="M152" s="54" t="s">
        <v>164</v>
      </c>
      <c r="N152" s="31"/>
      <c r="O152" s="31" t="s">
        <v>56</v>
      </c>
    </row>
    <row r="153" spans="1:15" x14ac:dyDescent="0.4">
      <c r="A153" s="30" t="str">
        <f>MID([1]이용내역조회!B34, 6, 2)</f>
        <v>01</v>
      </c>
      <c r="B153" s="30" t="str">
        <f>MID([1]이용내역조회!B34, 9, 2)</f>
        <v>13</v>
      </c>
      <c r="C153" s="31" t="s">
        <v>30</v>
      </c>
      <c r="D153" s="32" t="s">
        <v>31</v>
      </c>
      <c r="E153" s="31" t="s">
        <v>32</v>
      </c>
      <c r="F153" s="35">
        <f>[1]이용내역조회!K34</f>
        <v>31700</v>
      </c>
      <c r="G153" s="31"/>
      <c r="H153" s="31"/>
      <c r="I153" s="31"/>
      <c r="J153" s="36"/>
      <c r="K153" s="36"/>
      <c r="L153" s="31" t="s">
        <v>181</v>
      </c>
      <c r="M153" s="54" t="s">
        <v>135</v>
      </c>
      <c r="N153" s="31"/>
      <c r="O153" s="31" t="s">
        <v>56</v>
      </c>
    </row>
    <row r="154" spans="1:15" x14ac:dyDescent="0.4">
      <c r="A154" s="30" t="str">
        <f>MID([1]이용내역조회!B35, 6, 2)</f>
        <v>01</v>
      </c>
      <c r="B154" s="30" t="str">
        <f>MID([1]이용내역조회!B35, 9, 2)</f>
        <v>13</v>
      </c>
      <c r="C154" s="31" t="s">
        <v>30</v>
      </c>
      <c r="D154" s="32" t="s">
        <v>31</v>
      </c>
      <c r="E154" s="31" t="s">
        <v>32</v>
      </c>
      <c r="F154" s="35">
        <f>[1]이용내역조회!K35</f>
        <v>22000</v>
      </c>
      <c r="G154" s="31"/>
      <c r="H154" s="31"/>
      <c r="I154" s="31"/>
      <c r="J154" s="36"/>
      <c r="K154" s="36"/>
      <c r="L154" s="31" t="s">
        <v>84</v>
      </c>
      <c r="M154" s="54" t="s">
        <v>50</v>
      </c>
      <c r="N154" s="31"/>
      <c r="O154" s="31" t="s">
        <v>56</v>
      </c>
    </row>
    <row r="155" spans="1:15" x14ac:dyDescent="0.4">
      <c r="A155" s="30" t="str">
        <f>MID([1]이용내역조회!B36, 6, 2)</f>
        <v>01</v>
      </c>
      <c r="B155" s="30" t="str">
        <f>MID([1]이용내역조회!B36, 9, 2)</f>
        <v>15</v>
      </c>
      <c r="C155" s="31" t="s">
        <v>30</v>
      </c>
      <c r="D155" s="32" t="s">
        <v>31</v>
      </c>
      <c r="E155" s="31" t="s">
        <v>32</v>
      </c>
      <c r="F155" s="35">
        <f>[1]이용내역조회!K36</f>
        <v>48000</v>
      </c>
      <c r="G155" s="31"/>
      <c r="H155" s="31"/>
      <c r="I155" s="31"/>
      <c r="J155" s="36"/>
      <c r="K155" s="36"/>
      <c r="L155" s="31" t="s">
        <v>177</v>
      </c>
      <c r="M155" s="54" t="s">
        <v>182</v>
      </c>
      <c r="N155" s="31"/>
      <c r="O155" s="31" t="s">
        <v>56</v>
      </c>
    </row>
    <row r="156" spans="1:15" x14ac:dyDescent="0.4">
      <c r="A156" s="30" t="str">
        <f>MID([1]이용내역조회!B37, 6, 2)</f>
        <v>01</v>
      </c>
      <c r="B156" s="30" t="str">
        <f>MID([1]이용내역조회!B37, 9, 2)</f>
        <v>16</v>
      </c>
      <c r="C156" s="31" t="s">
        <v>30</v>
      </c>
      <c r="D156" s="32" t="s">
        <v>31</v>
      </c>
      <c r="E156" s="31" t="s">
        <v>32</v>
      </c>
      <c r="F156" s="35">
        <f>[1]이용내역조회!K37</f>
        <v>37800</v>
      </c>
      <c r="G156" s="31"/>
      <c r="H156" s="31"/>
      <c r="I156" s="31"/>
      <c r="J156" s="36"/>
      <c r="K156" s="36"/>
      <c r="L156" s="31" t="s">
        <v>177</v>
      </c>
      <c r="M156" s="54" t="s">
        <v>62</v>
      </c>
      <c r="N156" s="31"/>
      <c r="O156" s="31" t="s">
        <v>56</v>
      </c>
    </row>
    <row r="157" spans="1:15" x14ac:dyDescent="0.4">
      <c r="A157" s="30" t="str">
        <f>MID([1]이용내역조회!B38, 6, 2)</f>
        <v>01</v>
      </c>
      <c r="B157" s="30" t="str">
        <f>MID([1]이용내역조회!B38, 9, 2)</f>
        <v>20</v>
      </c>
      <c r="C157" s="31" t="s">
        <v>30</v>
      </c>
      <c r="D157" s="32" t="s">
        <v>31</v>
      </c>
      <c r="E157" s="31" t="s">
        <v>63</v>
      </c>
      <c r="F157" s="35">
        <f>[1]이용내역조회!K38</f>
        <v>37000</v>
      </c>
      <c r="G157" s="31"/>
      <c r="H157" s="31"/>
      <c r="I157" s="31"/>
      <c r="J157" s="36"/>
      <c r="K157" s="36"/>
      <c r="L157" s="31" t="s">
        <v>180</v>
      </c>
      <c r="M157" s="54" t="s">
        <v>178</v>
      </c>
      <c r="N157" s="31"/>
      <c r="O157" s="31" t="s">
        <v>56</v>
      </c>
    </row>
    <row r="158" spans="1:15" x14ac:dyDescent="0.4">
      <c r="A158" s="30" t="str">
        <f>MID([1]이용내역조회!B39, 6, 2)</f>
        <v>01</v>
      </c>
      <c r="B158" s="30" t="str">
        <f>MID([1]이용내역조회!B39, 9, 2)</f>
        <v>21</v>
      </c>
      <c r="C158" s="31" t="s">
        <v>30</v>
      </c>
      <c r="D158" s="32" t="s">
        <v>31</v>
      </c>
      <c r="E158" s="31" t="s">
        <v>32</v>
      </c>
      <c r="F158" s="35">
        <f>[1]이용내역조회!K39</f>
        <v>11600</v>
      </c>
      <c r="G158" s="31"/>
      <c r="H158" s="31"/>
      <c r="I158" s="31"/>
      <c r="J158" s="36"/>
      <c r="K158" s="36"/>
      <c r="L158" s="31" t="s">
        <v>84</v>
      </c>
      <c r="M158" s="54" t="s">
        <v>183</v>
      </c>
      <c r="N158" s="31"/>
      <c r="O158" s="31" t="s">
        <v>56</v>
      </c>
    </row>
    <row r="159" spans="1:15" x14ac:dyDescent="0.4">
      <c r="A159" s="30" t="str">
        <f>MID([1]이용내역조회!B40, 6, 2)</f>
        <v>01</v>
      </c>
      <c r="B159" s="30" t="str">
        <f>MID([1]이용내역조회!B40, 9, 2)</f>
        <v>21</v>
      </c>
      <c r="C159" s="31" t="s">
        <v>30</v>
      </c>
      <c r="D159" s="32" t="s">
        <v>31</v>
      </c>
      <c r="E159" s="31" t="s">
        <v>63</v>
      </c>
      <c r="F159" s="35">
        <f>[1]이용내역조회!K40</f>
        <v>10500</v>
      </c>
      <c r="G159" s="31"/>
      <c r="H159" s="31"/>
      <c r="I159" s="31"/>
      <c r="J159" s="36"/>
      <c r="K159" s="36"/>
      <c r="L159" s="31" t="s">
        <v>95</v>
      </c>
      <c r="M159" s="54" t="s">
        <v>184</v>
      </c>
      <c r="N159" s="31"/>
      <c r="O159" s="31" t="s">
        <v>56</v>
      </c>
    </row>
    <row r="160" spans="1:15" x14ac:dyDescent="0.4">
      <c r="A160" s="30" t="str">
        <f>MID([1]이용내역조회!B41, 6, 2)</f>
        <v>01</v>
      </c>
      <c r="B160" s="30" t="str">
        <f>MID([1]이용내역조회!B41, 9, 2)</f>
        <v>22</v>
      </c>
      <c r="C160" s="31" t="s">
        <v>30</v>
      </c>
      <c r="D160" s="32" t="s">
        <v>31</v>
      </c>
      <c r="E160" s="31" t="s">
        <v>32</v>
      </c>
      <c r="F160" s="35">
        <f>[1]이용내역조회!K41</f>
        <v>20500</v>
      </c>
      <c r="G160" s="31"/>
      <c r="H160" s="31"/>
      <c r="I160" s="31"/>
      <c r="J160" s="36"/>
      <c r="K160" s="36"/>
      <c r="L160" s="31" t="s">
        <v>85</v>
      </c>
      <c r="M160" s="54" t="s">
        <v>178</v>
      </c>
      <c r="N160" s="31"/>
      <c r="O160" s="31" t="s">
        <v>56</v>
      </c>
    </row>
    <row r="161" spans="1:15" x14ac:dyDescent="0.4">
      <c r="A161" s="30" t="str">
        <f>MID([1]이용내역조회!B42, 6, 2)</f>
        <v>01</v>
      </c>
      <c r="B161" s="30" t="str">
        <f>MID([1]이용내역조회!B42, 9, 2)</f>
        <v>26</v>
      </c>
      <c r="C161" s="31" t="s">
        <v>30</v>
      </c>
      <c r="D161" s="32" t="s">
        <v>31</v>
      </c>
      <c r="E161" s="31" t="s">
        <v>185</v>
      </c>
      <c r="F161" s="35">
        <f>[1]이용내역조회!K42</f>
        <v>19719</v>
      </c>
      <c r="G161" s="31"/>
      <c r="H161" s="31"/>
      <c r="I161" s="31"/>
      <c r="J161" s="36"/>
      <c r="K161" s="36"/>
      <c r="L161" s="31" t="s">
        <v>52</v>
      </c>
      <c r="M161" s="54" t="s">
        <v>186</v>
      </c>
      <c r="N161" s="31"/>
      <c r="O161" s="31" t="s">
        <v>56</v>
      </c>
    </row>
    <row r="162" spans="1:15" x14ac:dyDescent="0.4">
      <c r="A162" s="30" t="str">
        <f>MID([1]이용내역조회!B43, 6, 2)</f>
        <v>01</v>
      </c>
      <c r="B162" s="30" t="str">
        <f>MID([1]이용내역조회!B43, 9, 2)</f>
        <v>27</v>
      </c>
      <c r="C162" s="31" t="s">
        <v>30</v>
      </c>
      <c r="D162" s="32" t="s">
        <v>31</v>
      </c>
      <c r="E162" s="31" t="s">
        <v>32</v>
      </c>
      <c r="F162" s="35">
        <f>[1]이용내역조회!K43</f>
        <v>20000</v>
      </c>
      <c r="G162" s="31"/>
      <c r="H162" s="31"/>
      <c r="I162" s="31"/>
      <c r="J162" s="36"/>
      <c r="K162" s="36"/>
      <c r="L162" s="31" t="s">
        <v>35</v>
      </c>
      <c r="M162" s="36" t="s">
        <v>187</v>
      </c>
      <c r="N162" s="31"/>
      <c r="O162" s="31" t="s">
        <v>56</v>
      </c>
    </row>
    <row r="163" spans="1:15" x14ac:dyDescent="0.4">
      <c r="A163" s="30" t="str">
        <f>MID([1]이용내역조회!B44, 6, 2)</f>
        <v>01</v>
      </c>
      <c r="B163" s="30" t="str">
        <f>MID([1]이용내역조회!B44, 9, 2)</f>
        <v>28</v>
      </c>
      <c r="C163" s="31" t="s">
        <v>30</v>
      </c>
      <c r="D163" s="32" t="s">
        <v>31</v>
      </c>
      <c r="E163" s="31" t="s">
        <v>32</v>
      </c>
      <c r="F163" s="35">
        <f>[1]이용내역조회!K44</f>
        <v>44000</v>
      </c>
      <c r="G163" s="31"/>
      <c r="H163" s="31"/>
      <c r="I163" s="31"/>
      <c r="J163" s="36"/>
      <c r="K163" s="36"/>
      <c r="L163" s="31" t="s">
        <v>188</v>
      </c>
      <c r="M163" s="36" t="s">
        <v>162</v>
      </c>
      <c r="N163" s="31"/>
      <c r="O163" s="31" t="s">
        <v>56</v>
      </c>
    </row>
    <row r="164" spans="1:15" x14ac:dyDescent="0.4">
      <c r="A164" s="30" t="str">
        <f>MID([1]이용내역조회!B45, 6, 2)</f>
        <v>02</v>
      </c>
      <c r="B164" s="30" t="str">
        <f>MID([1]이용내역조회!B45, 9, 2)</f>
        <v>01</v>
      </c>
      <c r="C164" s="31" t="s">
        <v>30</v>
      </c>
      <c r="D164" s="32" t="s">
        <v>31</v>
      </c>
      <c r="E164" s="31"/>
      <c r="F164" s="35">
        <f>[1]이용내역조회!K45</f>
        <v>25900</v>
      </c>
      <c r="G164" s="31"/>
      <c r="H164" s="31"/>
      <c r="I164" s="31"/>
      <c r="J164" s="36"/>
      <c r="K164" s="36"/>
      <c r="L164" s="31"/>
      <c r="M164" s="55" t="str">
        <f>[1]이용내역조회!H45</f>
        <v>쿠팡(쿠페이)_엔에이치엔케이씨</v>
      </c>
      <c r="N164" s="31"/>
      <c r="O164" s="31" t="s">
        <v>56</v>
      </c>
    </row>
    <row r="165" spans="1:15" x14ac:dyDescent="0.4">
      <c r="A165" s="30" t="str">
        <f>MID([1]이용내역조회!B46, 6, 2)</f>
        <v>02</v>
      </c>
      <c r="B165" s="30" t="str">
        <f>MID([1]이용내역조회!B46, 9, 2)</f>
        <v>01</v>
      </c>
      <c r="C165" s="31" t="s">
        <v>30</v>
      </c>
      <c r="D165" s="32" t="s">
        <v>31</v>
      </c>
      <c r="E165" s="31"/>
      <c r="F165" s="35">
        <f>[1]이용내역조회!K46</f>
        <v>599000</v>
      </c>
      <c r="G165" s="31"/>
      <c r="H165" s="31"/>
      <c r="I165" s="31"/>
      <c r="J165" s="36"/>
      <c r="K165" s="36"/>
      <c r="L165" s="31"/>
      <c r="M165" s="36" t="str">
        <f>[1]이용내역조회!H46</f>
        <v>네이버페이</v>
      </c>
      <c r="N165" s="31"/>
      <c r="O165" s="31" t="s">
        <v>56</v>
      </c>
    </row>
    <row r="166" spans="1:15" x14ac:dyDescent="0.4">
      <c r="A166" s="30" t="str">
        <f>MID([1]이용내역조회!B47, 6, 2)</f>
        <v>02</v>
      </c>
      <c r="B166" s="30" t="str">
        <f>MID([1]이용내역조회!B47, 9, 2)</f>
        <v>01</v>
      </c>
      <c r="C166" s="31" t="s">
        <v>30</v>
      </c>
      <c r="D166" s="32" t="s">
        <v>31</v>
      </c>
      <c r="E166" s="31"/>
      <c r="F166" s="35">
        <f>[1]이용내역조회!K47</f>
        <v>131970</v>
      </c>
      <c r="G166" s="31"/>
      <c r="H166" s="31"/>
      <c r="I166" s="31"/>
      <c r="J166" s="36"/>
      <c r="K166" s="36"/>
      <c r="L166" s="31"/>
      <c r="M166" s="36" t="str">
        <f>[1]이용내역조회!H47</f>
        <v>쿠팡(쿠페이)_쿠팡(쿠페이)_KICC</v>
      </c>
      <c r="N166" s="31"/>
      <c r="O166" s="31" t="s">
        <v>56</v>
      </c>
    </row>
    <row r="167" spans="1:15" x14ac:dyDescent="0.4">
      <c r="A167" s="30" t="str">
        <f>MID([1]이용내역조회!B48, 6, 2)</f>
        <v>02</v>
      </c>
      <c r="B167" s="30" t="str">
        <f>MID([1]이용내역조회!B48, 9, 2)</f>
        <v>02</v>
      </c>
      <c r="C167" s="31" t="s">
        <v>30</v>
      </c>
      <c r="D167" s="32" t="s">
        <v>31</v>
      </c>
      <c r="E167" s="31"/>
      <c r="F167" s="35">
        <f>[1]이용내역조회!K48</f>
        <v>48300</v>
      </c>
      <c r="G167" s="31"/>
      <c r="H167" s="31"/>
      <c r="I167" s="31"/>
      <c r="J167" s="36"/>
      <c r="K167" s="36"/>
      <c r="L167" s="31"/>
      <c r="M167" s="36" t="str">
        <f>[1]이용내역조회!H48</f>
        <v>티로아</v>
      </c>
      <c r="N167" s="31"/>
      <c r="O167" s="31" t="s">
        <v>56</v>
      </c>
    </row>
    <row r="168" spans="1:15" x14ac:dyDescent="0.4">
      <c r="A168" s="30" t="str">
        <f>MID([1]이용내역조회!B49, 6, 2)</f>
        <v>02</v>
      </c>
      <c r="B168" s="30" t="str">
        <f>MID([1]이용내역조회!B49, 9, 2)</f>
        <v>03</v>
      </c>
      <c r="C168" s="31" t="s">
        <v>30</v>
      </c>
      <c r="D168" s="32" t="s">
        <v>31</v>
      </c>
      <c r="E168" s="31"/>
      <c r="F168" s="35">
        <f>[1]이용내역조회!K49</f>
        <v>8900</v>
      </c>
      <c r="G168" s="31"/>
      <c r="H168" s="31"/>
      <c r="I168" s="31"/>
      <c r="J168" s="36"/>
      <c r="K168" s="36"/>
      <c r="L168" s="31"/>
      <c r="M168" s="36" t="str">
        <f>[1]이용내역조회!H49</f>
        <v>쿠팡(쿠페이)_엔에이치엔케이씨</v>
      </c>
      <c r="N168" s="31"/>
      <c r="O168" s="31" t="s">
        <v>56</v>
      </c>
    </row>
    <row r="169" spans="1:15" x14ac:dyDescent="0.4">
      <c r="A169" s="30" t="str">
        <f>MID([1]이용내역조회!B50, 6, 2)</f>
        <v>02</v>
      </c>
      <c r="B169" s="30" t="str">
        <f>MID([1]이용내역조회!B50, 9, 2)</f>
        <v>04</v>
      </c>
      <c r="C169" s="31" t="s">
        <v>30</v>
      </c>
      <c r="D169" s="32" t="s">
        <v>31</v>
      </c>
      <c r="E169" s="31"/>
      <c r="F169" s="35">
        <f>[1]이용내역조회!K50</f>
        <v>32000</v>
      </c>
      <c r="G169" s="31"/>
      <c r="H169" s="31"/>
      <c r="I169" s="31"/>
      <c r="J169" s="36"/>
      <c r="K169" s="36"/>
      <c r="L169" s="31"/>
      <c r="M169" s="36" t="str">
        <f>[1]이용내역조회!H50</f>
        <v>쌀쌀맞은닭문래점</v>
      </c>
      <c r="N169" s="31"/>
      <c r="O169" s="31" t="s">
        <v>56</v>
      </c>
    </row>
    <row r="170" spans="1:15" x14ac:dyDescent="0.4">
      <c r="A170" s="30" t="str">
        <f>MID([1]이용내역조회!B45, 6, 2)</f>
        <v>02</v>
      </c>
      <c r="B170" s="30" t="str">
        <f>MID([1]이용내역조회!B45, 9, 2)</f>
        <v>01</v>
      </c>
      <c r="C170" s="31" t="s">
        <v>30</v>
      </c>
      <c r="D170" s="32" t="s">
        <v>31</v>
      </c>
      <c r="E170" s="31"/>
      <c r="F170" s="35">
        <f>[1]이용내역조회!K51</f>
        <v>20000</v>
      </c>
      <c r="G170" s="31"/>
      <c r="H170" s="31"/>
      <c r="I170" s="31"/>
      <c r="J170" s="36"/>
      <c r="K170" s="36"/>
      <c r="L170" s="31"/>
      <c r="M170" s="36" t="str">
        <f>[1]이용내역조회!H51</f>
        <v>월하정</v>
      </c>
      <c r="N170" s="31"/>
      <c r="O170" s="31" t="s">
        <v>56</v>
      </c>
    </row>
    <row r="171" spans="1:15" x14ac:dyDescent="0.4">
      <c r="A171" s="30" t="str">
        <f>MID([1]이용내역조회!B46, 6, 2)</f>
        <v>02</v>
      </c>
      <c r="B171" s="30" t="str">
        <f>MID([1]이용내역조회!B46, 9, 2)</f>
        <v>01</v>
      </c>
      <c r="C171" s="31" t="s">
        <v>30</v>
      </c>
      <c r="D171" s="32" t="s">
        <v>31</v>
      </c>
      <c r="E171" s="31"/>
      <c r="F171" s="35">
        <f>[1]이용내역조회!K52</f>
        <v>7000</v>
      </c>
      <c r="G171" s="31"/>
      <c r="H171" s="31"/>
      <c r="I171" s="31"/>
      <c r="J171" s="36"/>
      <c r="K171" s="36"/>
      <c r="L171" s="31"/>
      <c r="M171" s="36" t="str">
        <f>[1]이용내역조회!H52</f>
        <v>(사)국제라이온스협회354-A</v>
      </c>
      <c r="N171" s="31"/>
      <c r="O171" s="31" t="s">
        <v>56</v>
      </c>
    </row>
    <row r="172" spans="1:15" x14ac:dyDescent="0.4">
      <c r="A172" s="30" t="str">
        <f>MID([1]이용내역조회!B47, 6, 2)</f>
        <v>02</v>
      </c>
      <c r="B172" s="30" t="str">
        <f>MID([1]이용내역조회!B47, 9, 2)</f>
        <v>01</v>
      </c>
      <c r="C172" s="31" t="s">
        <v>30</v>
      </c>
      <c r="D172" s="32" t="s">
        <v>31</v>
      </c>
      <c r="E172" s="31"/>
      <c r="F172" s="35">
        <f>[1]이용내역조회!K53</f>
        <v>246408</v>
      </c>
      <c r="G172" s="31"/>
      <c r="H172" s="31"/>
      <c r="I172" s="31"/>
      <c r="J172" s="36"/>
      <c r="K172" s="36"/>
      <c r="L172" s="31"/>
      <c r="M172" s="36" t="str">
        <f>[1]이용내역조회!H53</f>
        <v>OPENAI *CHATGPT SUBSCR</v>
      </c>
      <c r="N172" s="31"/>
      <c r="O172" s="31" t="s">
        <v>56</v>
      </c>
    </row>
    <row r="173" spans="1:15" x14ac:dyDescent="0.4">
      <c r="A173" s="30" t="str">
        <f>MID([1]이용내역조회!B48, 6, 2)</f>
        <v>02</v>
      </c>
      <c r="B173" s="30" t="str">
        <f>MID([1]이용내역조회!B48, 9, 2)</f>
        <v>02</v>
      </c>
      <c r="C173" s="31" t="s">
        <v>30</v>
      </c>
      <c r="D173" s="32" t="s">
        <v>31</v>
      </c>
      <c r="E173" s="31"/>
      <c r="F173" s="35">
        <f>[1]이용내역조회!K54</f>
        <v>10000</v>
      </c>
      <c r="G173" s="31"/>
      <c r="H173" s="31"/>
      <c r="I173" s="31"/>
      <c r="J173" s="36"/>
      <c r="K173" s="36"/>
      <c r="L173" s="31"/>
      <c r="M173" s="36" t="str">
        <f>[1]이용내역조회!H54</f>
        <v>충주(상)휴게소 ㈜부자</v>
      </c>
      <c r="N173" s="31"/>
      <c r="O173" s="31" t="s">
        <v>56</v>
      </c>
    </row>
    <row r="174" spans="1:15" x14ac:dyDescent="0.4">
      <c r="A174" s="30" t="str">
        <f>MID([1]이용내역조회!B49, 6, 2)</f>
        <v>02</v>
      </c>
      <c r="B174" s="30" t="str">
        <f>MID([1]이용내역조회!B49, 9, 2)</f>
        <v>03</v>
      </c>
      <c r="C174" s="31" t="s">
        <v>30</v>
      </c>
      <c r="D174" s="32" t="s">
        <v>31</v>
      </c>
      <c r="E174" s="31"/>
      <c r="F174" s="35">
        <f>[1]이용내역조회!K55</f>
        <v>21500</v>
      </c>
      <c r="G174" s="31"/>
      <c r="H174" s="31"/>
      <c r="I174" s="31"/>
      <c r="J174" s="36"/>
      <c r="K174" s="36"/>
      <c r="L174" s="31"/>
      <c r="M174" s="36" t="str">
        <f>[1]이용내역조회!H55</f>
        <v>가락곰칼국수_키오스크(2)_코페</v>
      </c>
      <c r="N174" s="31"/>
      <c r="O174" s="31" t="s">
        <v>56</v>
      </c>
    </row>
    <row r="175" spans="1:15" x14ac:dyDescent="0.4">
      <c r="A175" s="30" t="str">
        <f>MID([1]이용내역조회!B50, 6, 2)</f>
        <v>02</v>
      </c>
      <c r="B175" s="30" t="str">
        <f>MID([1]이용내역조회!B50, 9, 2)</f>
        <v>04</v>
      </c>
      <c r="C175" s="31" t="s">
        <v>30</v>
      </c>
      <c r="D175" s="32" t="s">
        <v>31</v>
      </c>
      <c r="E175" s="31"/>
      <c r="F175" s="35">
        <f>[1]이용내역조회!K56</f>
        <v>40000</v>
      </c>
      <c r="G175" s="31"/>
      <c r="H175" s="31"/>
      <c r="I175" s="31"/>
      <c r="J175" s="36"/>
      <c r="K175" s="36"/>
      <c r="L175" s="31"/>
      <c r="M175" s="36" t="str">
        <f>[1]이용내역조회!H56</f>
        <v>월하정</v>
      </c>
      <c r="N175" s="31"/>
      <c r="O175" s="31" t="s">
        <v>56</v>
      </c>
    </row>
    <row r="176" spans="1:15" x14ac:dyDescent="0.4">
      <c r="A176" s="30" t="str">
        <f>MID([1]이용내역조회!B51, 6, 2)</f>
        <v>02</v>
      </c>
      <c r="B176" s="30" t="str">
        <f>MID([1]이용내역조회!B51, 9, 2)</f>
        <v>05</v>
      </c>
      <c r="C176" s="31" t="s">
        <v>30</v>
      </c>
      <c r="D176" s="32" t="s">
        <v>31</v>
      </c>
      <c r="E176" s="31"/>
      <c r="F176" s="35">
        <f>[1]이용내역조회!K57</f>
        <v>22000</v>
      </c>
      <c r="G176" s="31"/>
      <c r="H176" s="31"/>
      <c r="I176" s="31"/>
      <c r="J176" s="36"/>
      <c r="K176" s="36"/>
      <c r="L176" s="31"/>
      <c r="M176" s="36" t="str">
        <f>[1]이용내역조회!H57</f>
        <v>강창구찹쌀진순대 영등포에이스</v>
      </c>
      <c r="N176" s="31"/>
      <c r="O176" s="31" t="s">
        <v>56</v>
      </c>
    </row>
    <row r="177" spans="1:15" x14ac:dyDescent="0.4">
      <c r="A177" s="30" t="str">
        <f>MID([1]이용내역조회!B52, 6, 2)</f>
        <v>02</v>
      </c>
      <c r="B177" s="30" t="str">
        <f>MID([1]이용내역조회!B52, 9, 2)</f>
        <v>06</v>
      </c>
      <c r="C177" s="31" t="s">
        <v>30</v>
      </c>
      <c r="D177" s="32" t="s">
        <v>31</v>
      </c>
      <c r="E177" s="31"/>
      <c r="F177" s="35">
        <f>[1]이용내역조회!K58</f>
        <v>39500</v>
      </c>
      <c r="G177" s="31"/>
      <c r="H177" s="31"/>
      <c r="I177" s="31"/>
      <c r="J177" s="36"/>
      <c r="K177" s="36"/>
      <c r="L177" s="31"/>
      <c r="M177" s="36" t="str">
        <f>[1]이용내역조회!H58</f>
        <v>가락곰칼국수_키오스크(2)_코페</v>
      </c>
      <c r="N177" s="31"/>
      <c r="O177" s="31" t="s">
        <v>56</v>
      </c>
    </row>
    <row r="178" spans="1:15" x14ac:dyDescent="0.4">
      <c r="A178" s="30" t="str">
        <f>MID([1]이용내역조회!B53, 6, 2)</f>
        <v>02</v>
      </c>
      <c r="B178" s="30" t="str">
        <f>MID([1]이용내역조회!B53, 9, 2)</f>
        <v>08</v>
      </c>
      <c r="C178" s="31" t="s">
        <v>30</v>
      </c>
      <c r="D178" s="32" t="s">
        <v>31</v>
      </c>
      <c r="E178" s="31"/>
      <c r="F178" s="35">
        <f>[1]이용내역조회!K59</f>
        <v>42000</v>
      </c>
      <c r="G178" s="31"/>
      <c r="H178" s="31"/>
      <c r="I178" s="31"/>
      <c r="J178" s="36"/>
      <c r="K178" s="36"/>
      <c r="L178" s="31"/>
      <c r="M178" s="36" t="str">
        <f>[1]이용내역조회!H59</f>
        <v>주식회사 카카오모빌리티_카카오</v>
      </c>
      <c r="N178" s="31"/>
      <c r="O178" s="31" t="s">
        <v>56</v>
      </c>
    </row>
    <row r="179" spans="1:15" x14ac:dyDescent="0.4">
      <c r="A179" s="30" t="str">
        <f>MID([1]이용내역조회!B54, 6, 2)</f>
        <v>02</v>
      </c>
      <c r="B179" s="30" t="str">
        <f>MID([1]이용내역조회!B54, 9, 2)</f>
        <v>09</v>
      </c>
      <c r="C179" s="31" t="s">
        <v>30</v>
      </c>
      <c r="D179" s="32" t="s">
        <v>31</v>
      </c>
      <c r="E179" s="31"/>
      <c r="F179" s="35">
        <f>[1]이용내역조회!K60</f>
        <v>30000</v>
      </c>
      <c r="G179" s="31"/>
      <c r="H179" s="31"/>
      <c r="I179" s="31"/>
      <c r="J179" s="36"/>
      <c r="K179" s="36"/>
      <c r="L179" s="31"/>
      <c r="M179" s="36" t="str">
        <f>[1]이용내역조회!H60</f>
        <v>밥샵</v>
      </c>
      <c r="N179" s="31"/>
      <c r="O179" s="31" t="s">
        <v>56</v>
      </c>
    </row>
    <row r="180" spans="1:15" x14ac:dyDescent="0.4">
      <c r="A180" s="30" t="str">
        <f>MID([1]이용내역조회!B55, 6, 2)</f>
        <v>02</v>
      </c>
      <c r="B180" s="30" t="str">
        <f>MID([1]이용내역조회!B55, 9, 2)</f>
        <v>10</v>
      </c>
      <c r="C180" s="31" t="s">
        <v>30</v>
      </c>
      <c r="D180" s="32" t="s">
        <v>31</v>
      </c>
      <c r="E180" s="31"/>
      <c r="F180" s="35">
        <f>[1]이용내역조회!K61</f>
        <v>23000</v>
      </c>
      <c r="G180" s="31"/>
      <c r="H180" s="31"/>
      <c r="I180" s="31"/>
      <c r="J180" s="36"/>
      <c r="K180" s="36"/>
      <c r="L180" s="31"/>
      <c r="M180" s="36" t="str">
        <f>[1]이용내역조회!H61</f>
        <v>일품양평해장국 뚝섬역점</v>
      </c>
      <c r="N180" s="31"/>
      <c r="O180" s="31" t="s">
        <v>56</v>
      </c>
    </row>
    <row r="181" spans="1:15" x14ac:dyDescent="0.4">
      <c r="A181" s="30" t="str">
        <f>MID([1]이용내역조회!B56, 6, 2)</f>
        <v>02</v>
      </c>
      <c r="B181" s="30" t="str">
        <f>MID([1]이용내역조회!B56, 9, 2)</f>
        <v>13</v>
      </c>
      <c r="C181" s="31" t="s">
        <v>30</v>
      </c>
      <c r="D181" s="32" t="s">
        <v>31</v>
      </c>
      <c r="E181" s="31"/>
      <c r="F181" s="35">
        <f>[1]이용내역조회!K62</f>
        <v>21000</v>
      </c>
      <c r="G181" s="31"/>
      <c r="H181" s="31"/>
      <c r="I181" s="31"/>
      <c r="J181" s="36"/>
      <c r="K181" s="36"/>
      <c r="L181" s="31"/>
      <c r="M181" s="36" t="str">
        <f>[1]이용내역조회!H62</f>
        <v>주식회사 카카오모빌리티_카카오</v>
      </c>
      <c r="N181" s="31"/>
      <c r="O181" s="31" t="s">
        <v>56</v>
      </c>
    </row>
    <row r="182" spans="1:15" x14ac:dyDescent="0.4">
      <c r="A182" s="30" t="str">
        <f>MID([1]이용내역조회!B57, 6, 2)</f>
        <v>02</v>
      </c>
      <c r="B182" s="30" t="str">
        <f>MID([1]이용내역조회!B57, 9, 2)</f>
        <v>13</v>
      </c>
      <c r="C182" s="31" t="s">
        <v>30</v>
      </c>
      <c r="D182" s="32" t="s">
        <v>31</v>
      </c>
      <c r="E182" s="31"/>
      <c r="F182" s="35">
        <f>[1]이용내역조회!K63</f>
        <v>40000</v>
      </c>
      <c r="G182" s="31"/>
      <c r="H182" s="31"/>
      <c r="I182" s="31"/>
      <c r="J182" s="36"/>
      <c r="K182" s="36"/>
      <c r="L182" s="31"/>
      <c r="M182" s="36" t="str">
        <f>[1]이용내역조회!H63</f>
        <v>마이우</v>
      </c>
      <c r="N182" s="31"/>
      <c r="O182" s="31" t="s">
        <v>56</v>
      </c>
    </row>
    <row r="183" spans="1:15" x14ac:dyDescent="0.4">
      <c r="A183" s="30" t="str">
        <f>MID([1]이용내역조회!B58, 6, 2)</f>
        <v>02</v>
      </c>
      <c r="B183" s="30" t="str">
        <f>MID([1]이용내역조회!B58, 9, 2)</f>
        <v>19</v>
      </c>
      <c r="C183" s="31" t="s">
        <v>30</v>
      </c>
      <c r="D183" s="32" t="s">
        <v>31</v>
      </c>
      <c r="E183" s="31"/>
      <c r="F183" s="35">
        <f>[1]이용내역조회!K64</f>
        <v>47500</v>
      </c>
      <c r="G183" s="31"/>
      <c r="H183" s="31"/>
      <c r="I183" s="31"/>
      <c r="J183" s="36"/>
      <c r="K183" s="36"/>
      <c r="L183" s="31"/>
      <c r="M183" s="36" t="str">
        <f>[1]이용내역조회!H64</f>
        <v>놀부부대찌개철판구이</v>
      </c>
      <c r="N183" s="31"/>
      <c r="O183" s="31" t="s">
        <v>56</v>
      </c>
    </row>
    <row r="184" spans="1:15" x14ac:dyDescent="0.4">
      <c r="A184" s="30" t="str">
        <f>MID([1]이용내역조회!B59, 6, 2)</f>
        <v>02</v>
      </c>
      <c r="B184" s="30" t="str">
        <f>MID([1]이용내역조회!B59, 9, 2)</f>
        <v>19</v>
      </c>
      <c r="C184" s="31" t="s">
        <v>30</v>
      </c>
      <c r="D184" s="32" t="s">
        <v>31</v>
      </c>
      <c r="E184" s="31"/>
      <c r="F184" s="35">
        <f>[1]이용내역조회!K65</f>
        <v>49210</v>
      </c>
      <c r="G184" s="31"/>
      <c r="H184" s="31"/>
      <c r="I184" s="31"/>
      <c r="J184" s="36"/>
      <c r="K184" s="36"/>
      <c r="L184" s="31"/>
      <c r="M184" s="36" t="str">
        <f>[1]이용내역조회!H65</f>
        <v>쿠팡(쿠페이)_엔에이치엔케이씨</v>
      </c>
      <c r="N184" s="31"/>
      <c r="O184" s="31" t="s">
        <v>56</v>
      </c>
    </row>
    <row r="185" spans="1:15" x14ac:dyDescent="0.4">
      <c r="A185" s="30" t="str">
        <f>MID([1]이용내역조회!B60, 6, 2)</f>
        <v>02</v>
      </c>
      <c r="B185" s="30" t="str">
        <f>MID([1]이용내역조회!B60, 9, 2)</f>
        <v>20</v>
      </c>
      <c r="C185" s="31" t="s">
        <v>30</v>
      </c>
      <c r="D185" s="32" t="s">
        <v>31</v>
      </c>
      <c r="E185" s="31"/>
      <c r="F185" s="35">
        <f>[1]이용내역조회!K66</f>
        <v>41200</v>
      </c>
      <c r="G185" s="31"/>
      <c r="H185" s="31"/>
      <c r="I185" s="31"/>
      <c r="J185" s="36"/>
      <c r="K185" s="36"/>
      <c r="L185" s="31"/>
      <c r="M185" s="36" t="str">
        <f>[1]이용내역조회!H66</f>
        <v>쿠팡이츠_쿠팡이츠_KICC</v>
      </c>
      <c r="N185" s="31"/>
      <c r="O185" s="31" t="s">
        <v>56</v>
      </c>
    </row>
    <row r="186" spans="1:15" x14ac:dyDescent="0.4">
      <c r="A186" s="30" t="str">
        <f>MID([1]이용내역조회!B61, 6, 2)</f>
        <v>02</v>
      </c>
      <c r="B186" s="30" t="str">
        <f>MID([1]이용내역조회!B61, 9, 2)</f>
        <v>22</v>
      </c>
      <c r="C186" s="31" t="s">
        <v>30</v>
      </c>
      <c r="D186" s="32" t="s">
        <v>31</v>
      </c>
      <c r="E186" s="31"/>
      <c r="F186" s="35">
        <f>[1]이용내역조회!K67</f>
        <v>19907</v>
      </c>
      <c r="G186" s="31"/>
      <c r="H186" s="31"/>
      <c r="I186" s="31"/>
      <c r="J186" s="36"/>
      <c r="K186" s="36"/>
      <c r="L186" s="31"/>
      <c r="M186" s="36" t="str">
        <f>[1]이용내역조회!H67</f>
        <v>MICROSOFT-G142979527</v>
      </c>
      <c r="N186" s="31"/>
      <c r="O186" s="31" t="s">
        <v>56</v>
      </c>
    </row>
    <row r="187" spans="1:15" x14ac:dyDescent="0.4">
      <c r="A187" s="30" t="e">
        <f>MID(#REF!, 6, 2)</f>
        <v>#REF!</v>
      </c>
      <c r="B187" s="30" t="e">
        <f>MID(#REF!, 9, 2)</f>
        <v>#REF!</v>
      </c>
      <c r="C187" s="31" t="s">
        <v>30</v>
      </c>
      <c r="D187" s="32" t="s">
        <v>31</v>
      </c>
      <c r="E187" s="31"/>
      <c r="F187" s="35">
        <f>[1]이용내역조회!K68</f>
        <v>0</v>
      </c>
      <c r="G187" s="31"/>
      <c r="H187" s="31"/>
      <c r="I187" s="31"/>
      <c r="J187" s="36"/>
      <c r="K187" s="36"/>
      <c r="L187" s="31"/>
      <c r="M187" s="36"/>
      <c r="N187" s="31"/>
      <c r="O187" s="31" t="s">
        <v>56</v>
      </c>
    </row>
    <row r="188" spans="1:15" x14ac:dyDescent="0.4">
      <c r="A188" s="30" t="e">
        <f>MID(#REF!, 6, 2)</f>
        <v>#REF!</v>
      </c>
      <c r="B188" s="30" t="e">
        <f>MID(#REF!, 9, 2)</f>
        <v>#REF!</v>
      </c>
      <c r="C188" s="31" t="s">
        <v>30</v>
      </c>
      <c r="D188" s="32" t="s">
        <v>31</v>
      </c>
      <c r="E188" s="31"/>
      <c r="F188" s="35">
        <f>[1]이용내역조회!K69</f>
        <v>0</v>
      </c>
      <c r="G188" s="31"/>
      <c r="H188" s="31"/>
      <c r="I188" s="31"/>
      <c r="J188" s="36"/>
      <c r="K188" s="36"/>
      <c r="L188" s="31"/>
      <c r="M188" s="36"/>
      <c r="N188" s="31"/>
      <c r="O188" s="31" t="s">
        <v>56</v>
      </c>
    </row>
    <row r="189" spans="1:15" x14ac:dyDescent="0.4">
      <c r="A189" s="30" t="e">
        <f>MID(#REF!, 6, 2)</f>
        <v>#REF!</v>
      </c>
      <c r="B189" s="30" t="e">
        <f>MID(#REF!, 9, 2)</f>
        <v>#REF!</v>
      </c>
      <c r="C189" s="31" t="s">
        <v>30</v>
      </c>
      <c r="D189" s="32" t="s">
        <v>31</v>
      </c>
      <c r="E189" s="31"/>
      <c r="F189" s="35">
        <f>[1]이용내역조회!K70</f>
        <v>0</v>
      </c>
      <c r="G189" s="31"/>
      <c r="H189" s="31"/>
      <c r="I189" s="31"/>
      <c r="J189" s="36"/>
      <c r="K189" s="36"/>
      <c r="L189" s="31"/>
      <c r="M189" s="36"/>
      <c r="N189" s="31"/>
      <c r="O189" s="31" t="s">
        <v>56</v>
      </c>
    </row>
    <row r="190" spans="1:15" x14ac:dyDescent="0.4">
      <c r="A190" s="30" t="e">
        <f>MID(#REF!, 6, 2)</f>
        <v>#REF!</v>
      </c>
      <c r="B190" s="30" t="e">
        <f>MID(#REF!, 9, 2)</f>
        <v>#REF!</v>
      </c>
      <c r="C190" s="31" t="s">
        <v>30</v>
      </c>
      <c r="D190" s="32" t="s">
        <v>31</v>
      </c>
      <c r="E190" s="31"/>
      <c r="F190" s="35">
        <f>[1]이용내역조회!K71</f>
        <v>0</v>
      </c>
      <c r="G190" s="31"/>
      <c r="H190" s="31"/>
      <c r="I190" s="31"/>
      <c r="J190" s="36"/>
      <c r="K190" s="36"/>
      <c r="L190" s="31"/>
      <c r="M190" s="36"/>
      <c r="N190" s="31"/>
      <c r="O190" s="31" t="s">
        <v>56</v>
      </c>
    </row>
    <row r="191" spans="1:15" x14ac:dyDescent="0.4">
      <c r="A191" s="30" t="e">
        <f>MID(#REF!, 6, 2)</f>
        <v>#REF!</v>
      </c>
      <c r="B191" s="30" t="e">
        <f>MID(#REF!, 9, 2)</f>
        <v>#REF!</v>
      </c>
      <c r="C191" s="31" t="s">
        <v>30</v>
      </c>
      <c r="D191" s="32" t="s">
        <v>31</v>
      </c>
      <c r="E191" s="31"/>
      <c r="F191" s="35">
        <f>[1]이용내역조회!K72</f>
        <v>0</v>
      </c>
      <c r="G191" s="31"/>
      <c r="H191" s="31"/>
      <c r="I191" s="31"/>
      <c r="J191" s="36"/>
      <c r="K191" s="36"/>
      <c r="L191" s="31"/>
      <c r="M191" s="36"/>
      <c r="N191" s="31"/>
      <c r="O191" s="31" t="s">
        <v>56</v>
      </c>
    </row>
    <row r="192" spans="1:15" x14ac:dyDescent="0.4">
      <c r="A192" s="30" t="e">
        <f>MID(#REF!, 6, 2)</f>
        <v>#REF!</v>
      </c>
      <c r="B192" s="30" t="e">
        <f>MID(#REF!, 9, 2)</f>
        <v>#REF!</v>
      </c>
      <c r="C192" s="31" t="s">
        <v>30</v>
      </c>
      <c r="D192" s="32" t="s">
        <v>31</v>
      </c>
      <c r="E192" s="31"/>
      <c r="F192" s="35">
        <f>[1]이용내역조회!K73</f>
        <v>0</v>
      </c>
      <c r="G192" s="31"/>
      <c r="H192" s="31"/>
      <c r="I192" s="31"/>
      <c r="J192" s="36"/>
      <c r="K192" s="36"/>
      <c r="L192" s="31"/>
      <c r="M192" s="36"/>
      <c r="N192" s="31"/>
      <c r="O192" s="31" t="s">
        <v>56</v>
      </c>
    </row>
    <row r="193" spans="1:15" x14ac:dyDescent="0.4">
      <c r="A193" s="30" t="e">
        <f>MID(#REF!, 6, 2)</f>
        <v>#REF!</v>
      </c>
      <c r="B193" s="30" t="e">
        <f>MID(#REF!, 9, 2)</f>
        <v>#REF!</v>
      </c>
      <c r="C193" s="31" t="s">
        <v>30</v>
      </c>
      <c r="D193" s="32" t="s">
        <v>31</v>
      </c>
      <c r="E193" s="31"/>
      <c r="F193" s="35">
        <f>[1]이용내역조회!K74</f>
        <v>0</v>
      </c>
      <c r="G193" s="31"/>
      <c r="H193" s="31"/>
      <c r="I193" s="31"/>
      <c r="J193" s="36"/>
      <c r="K193" s="36"/>
      <c r="L193" s="31"/>
      <c r="M193" s="36"/>
      <c r="N193" s="31"/>
      <c r="O193" s="31" t="s">
        <v>56</v>
      </c>
    </row>
    <row r="194" spans="1:15" x14ac:dyDescent="0.4">
      <c r="A194" s="30" t="e">
        <f>MID(#REF!, 6, 2)</f>
        <v>#REF!</v>
      </c>
      <c r="B194" s="30" t="e">
        <f>MID(#REF!, 9, 2)</f>
        <v>#REF!</v>
      </c>
      <c r="C194" s="31" t="s">
        <v>30</v>
      </c>
      <c r="D194" s="32" t="s">
        <v>31</v>
      </c>
      <c r="E194" s="31"/>
      <c r="F194" s="35">
        <f>[1]이용내역조회!K75</f>
        <v>0</v>
      </c>
      <c r="G194" s="31"/>
      <c r="H194" s="31"/>
      <c r="I194" s="31"/>
      <c r="J194" s="36"/>
      <c r="K194" s="36"/>
      <c r="L194" s="31"/>
      <c r="M194" s="36"/>
      <c r="N194" s="31"/>
      <c r="O194" s="31" t="s">
        <v>56</v>
      </c>
    </row>
    <row r="195" spans="1:15" x14ac:dyDescent="0.4">
      <c r="A195" s="30" t="e">
        <f>MID(#REF!, 6, 2)</f>
        <v>#REF!</v>
      </c>
      <c r="B195" s="30" t="e">
        <f>MID(#REF!, 9, 2)</f>
        <v>#REF!</v>
      </c>
      <c r="C195" s="31" t="s">
        <v>30</v>
      </c>
      <c r="D195" s="32" t="s">
        <v>31</v>
      </c>
      <c r="E195" s="31"/>
      <c r="F195" s="35">
        <f>[1]이용내역조회!K76</f>
        <v>0</v>
      </c>
      <c r="G195" s="31"/>
      <c r="H195" s="31"/>
      <c r="I195" s="31"/>
      <c r="J195" s="36"/>
      <c r="K195" s="36"/>
      <c r="L195" s="31"/>
      <c r="M195" s="36"/>
      <c r="N195" s="31"/>
      <c r="O195" s="31" t="s">
        <v>56</v>
      </c>
    </row>
    <row r="196" spans="1:15" x14ac:dyDescent="0.4">
      <c r="A196" s="30" t="e">
        <f>MID(#REF!, 6, 2)</f>
        <v>#REF!</v>
      </c>
      <c r="B196" s="30" t="e">
        <f>MID(#REF!, 9, 2)</f>
        <v>#REF!</v>
      </c>
      <c r="C196" s="31" t="s">
        <v>30</v>
      </c>
      <c r="D196" s="32" t="s">
        <v>31</v>
      </c>
      <c r="E196" s="31"/>
      <c r="F196" s="35">
        <f>[1]이용내역조회!K77</f>
        <v>0</v>
      </c>
      <c r="G196" s="31"/>
      <c r="H196" s="31"/>
      <c r="I196" s="31"/>
      <c r="J196" s="36"/>
      <c r="K196" s="36"/>
      <c r="L196" s="31"/>
      <c r="M196" s="36"/>
      <c r="N196" s="31"/>
      <c r="O196" s="31" t="s">
        <v>56</v>
      </c>
    </row>
    <row r="197" spans="1:15" x14ac:dyDescent="0.4">
      <c r="A197" s="30" t="e">
        <f>MID(#REF!, 6, 2)</f>
        <v>#REF!</v>
      </c>
      <c r="B197" s="30" t="e">
        <f>MID(#REF!, 9, 2)</f>
        <v>#REF!</v>
      </c>
      <c r="C197" s="31" t="s">
        <v>30</v>
      </c>
      <c r="D197" s="32" t="s">
        <v>31</v>
      </c>
      <c r="E197" s="31"/>
      <c r="F197" s="35">
        <f>[1]이용내역조회!K78</f>
        <v>0</v>
      </c>
      <c r="G197" s="31"/>
      <c r="H197" s="31"/>
      <c r="I197" s="31"/>
      <c r="J197" s="36"/>
      <c r="K197" s="36"/>
      <c r="L197" s="31"/>
      <c r="M197" s="36"/>
      <c r="N197" s="31"/>
      <c r="O197" s="31" t="s">
        <v>56</v>
      </c>
    </row>
    <row r="198" spans="1:15" x14ac:dyDescent="0.4">
      <c r="A198" s="30" t="e">
        <f>MID(#REF!, 6, 2)</f>
        <v>#REF!</v>
      </c>
      <c r="B198" s="30" t="e">
        <f>MID(#REF!, 9, 2)</f>
        <v>#REF!</v>
      </c>
      <c r="C198" s="31" t="s">
        <v>30</v>
      </c>
      <c r="D198" s="32" t="s">
        <v>31</v>
      </c>
      <c r="E198" s="31"/>
      <c r="F198" s="35">
        <f>[1]이용내역조회!K79</f>
        <v>0</v>
      </c>
      <c r="G198" s="31"/>
      <c r="H198" s="31"/>
      <c r="I198" s="31"/>
      <c r="J198" s="36"/>
      <c r="K198" s="36"/>
      <c r="L198" s="31"/>
      <c r="M198" s="36"/>
      <c r="N198" s="31"/>
      <c r="O198" s="31" t="s">
        <v>56</v>
      </c>
    </row>
    <row r="199" spans="1:15" x14ac:dyDescent="0.4">
      <c r="A199" s="30" t="e">
        <f>MID(#REF!, 6, 2)</f>
        <v>#REF!</v>
      </c>
      <c r="B199" s="30" t="e">
        <f>MID(#REF!, 9, 2)</f>
        <v>#REF!</v>
      </c>
      <c r="C199" s="31" t="s">
        <v>30</v>
      </c>
      <c r="D199" s="32" t="s">
        <v>31</v>
      </c>
      <c r="E199" s="31"/>
      <c r="F199" s="35">
        <f>[1]이용내역조회!K80</f>
        <v>0</v>
      </c>
      <c r="G199" s="31"/>
      <c r="H199" s="31"/>
      <c r="I199" s="31"/>
      <c r="J199" s="36"/>
      <c r="K199" s="36"/>
      <c r="L199" s="31"/>
      <c r="M199" s="36"/>
      <c r="N199" s="31"/>
      <c r="O199" s="31" t="s">
        <v>56</v>
      </c>
    </row>
    <row r="200" spans="1:15" x14ac:dyDescent="0.4">
      <c r="A200" s="30" t="e">
        <f>MID(#REF!, 6, 2)</f>
        <v>#REF!</v>
      </c>
      <c r="B200" s="30" t="e">
        <f>MID(#REF!, 9, 2)</f>
        <v>#REF!</v>
      </c>
      <c r="C200" s="31" t="s">
        <v>30</v>
      </c>
      <c r="D200" s="32" t="s">
        <v>31</v>
      </c>
      <c r="E200" s="31"/>
      <c r="F200" s="35">
        <f>[1]이용내역조회!K81</f>
        <v>0</v>
      </c>
      <c r="G200" s="31"/>
      <c r="H200" s="31"/>
      <c r="I200" s="31"/>
      <c r="J200" s="36"/>
      <c r="K200" s="36"/>
      <c r="L200" s="31"/>
      <c r="M200" s="36"/>
      <c r="N200" s="31"/>
      <c r="O200" s="31" t="s">
        <v>56</v>
      </c>
    </row>
    <row r="201" spans="1:15" x14ac:dyDescent="0.4">
      <c r="A201" s="30" t="e">
        <f>MID(#REF!, 6, 2)</f>
        <v>#REF!</v>
      </c>
      <c r="B201" s="30" t="e">
        <f>MID(#REF!, 9, 2)</f>
        <v>#REF!</v>
      </c>
      <c r="C201" s="31" t="s">
        <v>30</v>
      </c>
      <c r="D201" s="32" t="s">
        <v>31</v>
      </c>
      <c r="E201" s="31"/>
      <c r="F201" s="35">
        <f>[1]이용내역조회!K82</f>
        <v>0</v>
      </c>
      <c r="G201" s="31"/>
      <c r="H201" s="31"/>
      <c r="I201" s="31"/>
      <c r="J201" s="36"/>
      <c r="K201" s="36"/>
      <c r="L201" s="31"/>
      <c r="M201" s="36"/>
      <c r="N201" s="31"/>
      <c r="O201" s="31" t="s">
        <v>56</v>
      </c>
    </row>
    <row r="202" spans="1:15" x14ac:dyDescent="0.4">
      <c r="A202" s="30" t="e">
        <f>MID(#REF!, 6, 2)</f>
        <v>#REF!</v>
      </c>
      <c r="B202" s="30" t="e">
        <f>MID(#REF!, 9, 2)</f>
        <v>#REF!</v>
      </c>
      <c r="C202" s="31" t="s">
        <v>30</v>
      </c>
      <c r="D202" s="32" t="s">
        <v>31</v>
      </c>
      <c r="E202" s="31"/>
      <c r="F202" s="35">
        <f>[1]이용내역조회!K83</f>
        <v>0</v>
      </c>
      <c r="G202" s="31"/>
      <c r="H202" s="31"/>
      <c r="I202" s="31"/>
      <c r="J202" s="36"/>
      <c r="K202" s="36"/>
      <c r="L202" s="31"/>
      <c r="M202" s="36"/>
      <c r="N202" s="31"/>
      <c r="O202" s="31" t="s">
        <v>56</v>
      </c>
    </row>
    <row r="203" spans="1:15" x14ac:dyDescent="0.4">
      <c r="A203" s="30" t="e">
        <f>MID(#REF!, 6, 2)</f>
        <v>#REF!</v>
      </c>
      <c r="B203" s="30" t="e">
        <f>MID(#REF!, 9, 2)</f>
        <v>#REF!</v>
      </c>
      <c r="C203" s="31" t="s">
        <v>30</v>
      </c>
      <c r="D203" s="32" t="s">
        <v>31</v>
      </c>
      <c r="E203" s="31"/>
      <c r="F203" s="35">
        <f>[1]이용내역조회!K84</f>
        <v>0</v>
      </c>
      <c r="G203" s="31"/>
      <c r="H203" s="31"/>
      <c r="I203" s="31"/>
      <c r="J203" s="36"/>
      <c r="K203" s="36"/>
      <c r="L203" s="31"/>
      <c r="M203" s="36"/>
      <c r="N203" s="31"/>
      <c r="O203" s="31" t="s">
        <v>56</v>
      </c>
    </row>
    <row r="204" spans="1:15" x14ac:dyDescent="0.4">
      <c r="A204" s="30" t="e">
        <f>MID(#REF!, 6, 2)</f>
        <v>#REF!</v>
      </c>
      <c r="B204" s="30" t="e">
        <f>MID(#REF!, 9, 2)</f>
        <v>#REF!</v>
      </c>
      <c r="C204" s="31" t="s">
        <v>30</v>
      </c>
      <c r="D204" s="32" t="s">
        <v>31</v>
      </c>
      <c r="E204" s="31"/>
      <c r="F204" s="35">
        <f>[1]이용내역조회!K85</f>
        <v>0</v>
      </c>
      <c r="G204" s="31"/>
      <c r="H204" s="31"/>
      <c r="I204" s="31"/>
      <c r="J204" s="36"/>
      <c r="K204" s="36"/>
      <c r="L204" s="31"/>
      <c r="M204" s="36"/>
      <c r="N204" s="31"/>
      <c r="O204" s="31" t="s">
        <v>56</v>
      </c>
    </row>
    <row r="205" spans="1:15" x14ac:dyDescent="0.4">
      <c r="A205" s="30" t="e">
        <f>MID(#REF!, 6, 2)</f>
        <v>#REF!</v>
      </c>
      <c r="B205" s="30" t="e">
        <f>MID(#REF!, 9, 2)</f>
        <v>#REF!</v>
      </c>
      <c r="C205" s="31" t="s">
        <v>30</v>
      </c>
      <c r="D205" s="32" t="s">
        <v>31</v>
      </c>
      <c r="E205" s="31"/>
      <c r="F205" s="35">
        <f>[1]이용내역조회!K86</f>
        <v>0</v>
      </c>
      <c r="G205" s="31"/>
      <c r="H205" s="31"/>
      <c r="I205" s="31"/>
      <c r="J205" s="36"/>
      <c r="K205" s="36"/>
      <c r="L205" s="31"/>
      <c r="M205" s="36"/>
      <c r="N205" s="31"/>
      <c r="O205" s="31" t="s">
        <v>56</v>
      </c>
    </row>
    <row r="206" spans="1:15" x14ac:dyDescent="0.4">
      <c r="A206" s="30" t="e">
        <f>MID(#REF!, 6, 2)</f>
        <v>#REF!</v>
      </c>
      <c r="B206" s="30" t="e">
        <f>MID(#REF!, 9, 2)</f>
        <v>#REF!</v>
      </c>
      <c r="C206" s="31" t="s">
        <v>30</v>
      </c>
      <c r="D206" s="32" t="s">
        <v>31</v>
      </c>
      <c r="E206" s="31"/>
      <c r="F206" s="35">
        <f>[1]이용내역조회!K87</f>
        <v>0</v>
      </c>
      <c r="G206" s="31"/>
      <c r="H206" s="31"/>
      <c r="I206" s="31"/>
      <c r="J206" s="36"/>
      <c r="K206" s="36"/>
      <c r="L206" s="31"/>
      <c r="M206" s="36"/>
      <c r="N206" s="31"/>
      <c r="O206" s="31" t="s">
        <v>56</v>
      </c>
    </row>
    <row r="207" spans="1:15" x14ac:dyDescent="0.4">
      <c r="A207" s="30" t="e">
        <f>MID(#REF!, 6, 2)</f>
        <v>#REF!</v>
      </c>
      <c r="B207" s="30" t="e">
        <f>MID(#REF!, 9, 2)</f>
        <v>#REF!</v>
      </c>
      <c r="C207" s="31" t="s">
        <v>30</v>
      </c>
      <c r="D207" s="32" t="s">
        <v>31</v>
      </c>
      <c r="E207" s="31"/>
      <c r="F207" s="35">
        <f>[1]이용내역조회!K88</f>
        <v>0</v>
      </c>
      <c r="G207" s="31"/>
      <c r="H207" s="31"/>
      <c r="I207" s="31"/>
      <c r="J207" s="36"/>
      <c r="K207" s="36"/>
      <c r="L207" s="31"/>
      <c r="M207" s="36"/>
      <c r="N207" s="31"/>
      <c r="O207" s="31" t="s">
        <v>56</v>
      </c>
    </row>
    <row r="208" spans="1:15" x14ac:dyDescent="0.4">
      <c r="A208" s="30" t="e">
        <f>MID(#REF!, 6, 2)</f>
        <v>#REF!</v>
      </c>
      <c r="B208" s="30" t="e">
        <f>MID(#REF!, 9, 2)</f>
        <v>#REF!</v>
      </c>
      <c r="C208" s="31" t="s">
        <v>30</v>
      </c>
      <c r="D208" s="32" t="s">
        <v>31</v>
      </c>
      <c r="E208" s="31"/>
      <c r="F208" s="35">
        <f>[1]이용내역조회!K89</f>
        <v>0</v>
      </c>
      <c r="G208" s="31"/>
      <c r="H208" s="31"/>
      <c r="I208" s="31"/>
      <c r="J208" s="36"/>
      <c r="K208" s="36"/>
      <c r="L208" s="31"/>
      <c r="M208" s="36"/>
      <c r="N208" s="31"/>
      <c r="O208" s="31" t="s">
        <v>56</v>
      </c>
    </row>
    <row r="209" spans="1:15" x14ac:dyDescent="0.4">
      <c r="A209" s="30" t="e">
        <f>MID(#REF!, 6, 2)</f>
        <v>#REF!</v>
      </c>
      <c r="B209" s="30" t="e">
        <f>MID(#REF!, 9, 2)</f>
        <v>#REF!</v>
      </c>
      <c r="C209" s="31" t="s">
        <v>30</v>
      </c>
      <c r="D209" s="32" t="s">
        <v>31</v>
      </c>
      <c r="E209" s="31"/>
      <c r="F209" s="35">
        <f>[1]이용내역조회!K90</f>
        <v>0</v>
      </c>
      <c r="G209" s="31"/>
      <c r="H209" s="31"/>
      <c r="I209" s="31"/>
      <c r="J209" s="36"/>
      <c r="K209" s="36"/>
      <c r="L209" s="31"/>
      <c r="M209" s="36"/>
      <c r="N209" s="31"/>
      <c r="O209" s="31" t="s">
        <v>56</v>
      </c>
    </row>
    <row r="210" spans="1:15" x14ac:dyDescent="0.4">
      <c r="A210" s="30" t="e">
        <f>MID(#REF!, 6, 2)</f>
        <v>#REF!</v>
      </c>
      <c r="B210" s="30" t="e">
        <f>MID(#REF!, 9, 2)</f>
        <v>#REF!</v>
      </c>
      <c r="C210" s="31" t="s">
        <v>30</v>
      </c>
      <c r="D210" s="32" t="s">
        <v>31</v>
      </c>
      <c r="E210" s="31"/>
      <c r="F210" s="35">
        <f>[1]이용내역조회!K91</f>
        <v>0</v>
      </c>
      <c r="G210" s="31"/>
      <c r="H210" s="31"/>
      <c r="I210" s="31"/>
      <c r="J210" s="36"/>
      <c r="K210" s="36"/>
      <c r="L210" s="31"/>
      <c r="M210" s="36"/>
      <c r="N210" s="31"/>
      <c r="O210" s="31" t="s">
        <v>56</v>
      </c>
    </row>
    <row r="211" spans="1:15" x14ac:dyDescent="0.4">
      <c r="A211" s="30" t="e">
        <f>MID(#REF!, 6, 2)</f>
        <v>#REF!</v>
      </c>
      <c r="B211" s="30" t="e">
        <f>MID(#REF!, 9, 2)</f>
        <v>#REF!</v>
      </c>
      <c r="C211" s="31" t="s">
        <v>30</v>
      </c>
      <c r="D211" s="32" t="s">
        <v>31</v>
      </c>
      <c r="E211" s="31"/>
      <c r="F211" s="35">
        <f>[1]이용내역조회!K92</f>
        <v>0</v>
      </c>
      <c r="G211" s="31"/>
      <c r="H211" s="31"/>
      <c r="I211" s="31"/>
      <c r="J211" s="36"/>
      <c r="K211" s="36"/>
      <c r="L211" s="31"/>
      <c r="M211" s="36"/>
      <c r="N211" s="31"/>
      <c r="O211" s="31" t="s">
        <v>56</v>
      </c>
    </row>
    <row r="212" spans="1:15" x14ac:dyDescent="0.4">
      <c r="A212" s="30" t="e">
        <f>MID(#REF!, 6, 2)</f>
        <v>#REF!</v>
      </c>
      <c r="B212" s="30" t="e">
        <f>MID(#REF!, 9, 2)</f>
        <v>#REF!</v>
      </c>
      <c r="C212" s="31" t="s">
        <v>30</v>
      </c>
      <c r="D212" s="32" t="s">
        <v>31</v>
      </c>
      <c r="E212" s="31"/>
      <c r="F212" s="35">
        <f>[1]이용내역조회!K93</f>
        <v>0</v>
      </c>
      <c r="G212" s="31"/>
      <c r="H212" s="31"/>
      <c r="I212" s="31"/>
      <c r="J212" s="36"/>
      <c r="K212" s="36"/>
      <c r="L212" s="31"/>
      <c r="M212" s="36"/>
      <c r="N212" s="31"/>
      <c r="O212" s="31" t="s">
        <v>56</v>
      </c>
    </row>
    <row r="213" spans="1:15" x14ac:dyDescent="0.4">
      <c r="A213" s="30" t="e">
        <f>MID(#REF!, 6, 2)</f>
        <v>#REF!</v>
      </c>
      <c r="B213" s="30" t="e">
        <f>MID(#REF!, 9, 2)</f>
        <v>#REF!</v>
      </c>
      <c r="C213" s="31" t="s">
        <v>30</v>
      </c>
      <c r="D213" s="32" t="s">
        <v>31</v>
      </c>
      <c r="E213" s="31"/>
      <c r="F213" s="35">
        <f>[1]이용내역조회!K94</f>
        <v>0</v>
      </c>
      <c r="G213" s="31"/>
      <c r="H213" s="31"/>
      <c r="I213" s="31"/>
      <c r="J213" s="36"/>
      <c r="K213" s="36"/>
      <c r="L213" s="31"/>
      <c r="M213" s="36"/>
      <c r="N213" s="31"/>
      <c r="O213" s="31" t="s">
        <v>56</v>
      </c>
    </row>
    <row r="214" spans="1:15" x14ac:dyDescent="0.4">
      <c r="A214" s="30" t="e">
        <f>MID(#REF!, 6, 2)</f>
        <v>#REF!</v>
      </c>
      <c r="B214" s="30" t="e">
        <f>MID(#REF!, 9, 2)</f>
        <v>#REF!</v>
      </c>
      <c r="C214" s="31" t="s">
        <v>30</v>
      </c>
      <c r="D214" s="32" t="s">
        <v>31</v>
      </c>
      <c r="E214" s="31"/>
      <c r="F214" s="35">
        <f>[1]이용내역조회!K95</f>
        <v>0</v>
      </c>
      <c r="G214" s="31"/>
      <c r="H214" s="31"/>
      <c r="I214" s="31"/>
      <c r="J214" s="36"/>
      <c r="K214" s="36"/>
      <c r="L214" s="31"/>
      <c r="M214" s="36"/>
      <c r="N214" s="31"/>
      <c r="O214" s="31" t="s">
        <v>56</v>
      </c>
    </row>
    <row r="215" spans="1:15" x14ac:dyDescent="0.4">
      <c r="A215" s="30" t="e">
        <f>MID(#REF!, 6, 2)</f>
        <v>#REF!</v>
      </c>
      <c r="B215" s="30" t="e">
        <f>MID(#REF!, 9, 2)</f>
        <v>#REF!</v>
      </c>
      <c r="C215" s="31" t="s">
        <v>30</v>
      </c>
      <c r="D215" s="32" t="s">
        <v>31</v>
      </c>
      <c r="E215" s="31"/>
      <c r="F215" s="35">
        <f>[1]이용내역조회!K96</f>
        <v>0</v>
      </c>
      <c r="G215" s="31"/>
      <c r="H215" s="31"/>
      <c r="I215" s="31"/>
      <c r="J215" s="36"/>
      <c r="K215" s="36"/>
      <c r="L215" s="31"/>
      <c r="M215" s="36"/>
      <c r="N215" s="31"/>
      <c r="O215" s="31" t="s">
        <v>56</v>
      </c>
    </row>
    <row r="216" spans="1:15" x14ac:dyDescent="0.4">
      <c r="A216" s="30" t="e">
        <f>MID(#REF!, 6, 2)</f>
        <v>#REF!</v>
      </c>
      <c r="B216" s="30" t="e">
        <f>MID(#REF!, 9, 2)</f>
        <v>#REF!</v>
      </c>
      <c r="C216" s="31" t="s">
        <v>30</v>
      </c>
      <c r="D216" s="32" t="s">
        <v>31</v>
      </c>
      <c r="E216" s="31"/>
      <c r="F216" s="35">
        <f>[1]이용내역조회!K97</f>
        <v>0</v>
      </c>
      <c r="G216" s="31"/>
      <c r="H216" s="31"/>
      <c r="I216" s="31"/>
      <c r="J216" s="36"/>
      <c r="K216" s="36"/>
      <c r="L216" s="31"/>
      <c r="M216" s="36"/>
      <c r="N216" s="31"/>
      <c r="O216" s="31" t="s">
        <v>56</v>
      </c>
    </row>
    <row r="217" spans="1:15" x14ac:dyDescent="0.4">
      <c r="A217" s="30" t="e">
        <f>MID(#REF!, 6, 2)</f>
        <v>#REF!</v>
      </c>
      <c r="B217" s="30" t="e">
        <f>MID(#REF!, 9, 2)</f>
        <v>#REF!</v>
      </c>
      <c r="C217" s="31" t="s">
        <v>30</v>
      </c>
      <c r="D217" s="32" t="s">
        <v>31</v>
      </c>
      <c r="E217" s="31"/>
      <c r="F217" s="35">
        <f>[1]이용내역조회!K98</f>
        <v>0</v>
      </c>
      <c r="G217" s="31"/>
      <c r="H217" s="31"/>
      <c r="I217" s="31"/>
      <c r="J217" s="36"/>
      <c r="K217" s="36"/>
      <c r="L217" s="31"/>
      <c r="M217" s="36"/>
      <c r="N217" s="31"/>
      <c r="O217" s="31" t="s">
        <v>56</v>
      </c>
    </row>
    <row r="218" spans="1:15" x14ac:dyDescent="0.4">
      <c r="A218" s="30" t="e">
        <f>MID(#REF!, 6, 2)</f>
        <v>#REF!</v>
      </c>
      <c r="B218" s="30" t="e">
        <f>MID(#REF!, 9, 2)</f>
        <v>#REF!</v>
      </c>
      <c r="C218" s="31" t="s">
        <v>30</v>
      </c>
      <c r="D218" s="32" t="s">
        <v>31</v>
      </c>
      <c r="E218" s="31"/>
      <c r="F218" s="35">
        <f>[1]이용내역조회!K99</f>
        <v>0</v>
      </c>
      <c r="G218" s="31"/>
      <c r="H218" s="31"/>
      <c r="I218" s="31"/>
      <c r="J218" s="36"/>
      <c r="K218" s="36"/>
      <c r="L218" s="31"/>
      <c r="M218" s="36"/>
      <c r="N218" s="31"/>
      <c r="O218" s="31" t="s">
        <v>56</v>
      </c>
    </row>
    <row r="219" spans="1:15" x14ac:dyDescent="0.4">
      <c r="A219" s="30" t="e">
        <f>MID(#REF!, 6, 2)</f>
        <v>#REF!</v>
      </c>
      <c r="B219" s="30" t="e">
        <f>MID(#REF!, 9, 2)</f>
        <v>#REF!</v>
      </c>
      <c r="C219" s="31" t="s">
        <v>30</v>
      </c>
      <c r="D219" s="32" t="s">
        <v>31</v>
      </c>
      <c r="E219" s="31"/>
      <c r="F219" s="35">
        <f>[1]이용내역조회!K100</f>
        <v>0</v>
      </c>
      <c r="G219" s="31"/>
      <c r="H219" s="31"/>
      <c r="I219" s="31"/>
      <c r="J219" s="36"/>
      <c r="K219" s="36"/>
      <c r="L219" s="31"/>
      <c r="M219" s="36"/>
      <c r="N219" s="31"/>
      <c r="O219" s="31" t="s">
        <v>56</v>
      </c>
    </row>
    <row r="220" spans="1:15" x14ac:dyDescent="0.4">
      <c r="A220" s="30" t="e">
        <f>MID(#REF!, 6, 2)</f>
        <v>#REF!</v>
      </c>
      <c r="B220" s="30" t="e">
        <f>MID(#REF!, 9, 2)</f>
        <v>#REF!</v>
      </c>
      <c r="C220" s="31" t="s">
        <v>30</v>
      </c>
      <c r="D220" s="32" t="s">
        <v>31</v>
      </c>
      <c r="E220" s="31"/>
      <c r="F220" s="35">
        <f>[1]이용내역조회!K101</f>
        <v>0</v>
      </c>
      <c r="G220" s="31"/>
      <c r="H220" s="31"/>
      <c r="I220" s="31"/>
      <c r="J220" s="36"/>
      <c r="K220" s="36"/>
      <c r="L220" s="31"/>
      <c r="M220" s="36"/>
      <c r="N220" s="31"/>
      <c r="O220" s="31" t="s">
        <v>56</v>
      </c>
    </row>
    <row r="221" spans="1:15" x14ac:dyDescent="0.4">
      <c r="A221" s="30" t="e">
        <f>MID(#REF!, 6, 2)</f>
        <v>#REF!</v>
      </c>
      <c r="B221" s="56"/>
      <c r="C221" s="31" t="s">
        <v>30</v>
      </c>
      <c r="D221" s="32" t="s">
        <v>31</v>
      </c>
      <c r="E221" s="31"/>
      <c r="F221" s="35">
        <f>[1]이용내역조회!K102</f>
        <v>0</v>
      </c>
      <c r="G221" s="31"/>
      <c r="H221" s="31"/>
      <c r="I221" s="31"/>
      <c r="J221" s="36"/>
      <c r="K221" s="36"/>
      <c r="L221" s="31"/>
      <c r="M221" s="36"/>
      <c r="N221" s="31"/>
      <c r="O221" s="31" t="s">
        <v>56</v>
      </c>
    </row>
    <row r="222" spans="1:15" x14ac:dyDescent="0.4">
      <c r="A222" s="30" t="e">
        <f>MID(#REF!, 6, 2)</f>
        <v>#REF!</v>
      </c>
      <c r="B222" s="56"/>
      <c r="C222" s="31" t="s">
        <v>30</v>
      </c>
      <c r="D222" s="32" t="s">
        <v>31</v>
      </c>
      <c r="E222" s="31"/>
      <c r="F222" s="35">
        <f>[1]이용내역조회!K103</f>
        <v>0</v>
      </c>
      <c r="G222" s="31"/>
      <c r="H222" s="31"/>
      <c r="I222" s="31"/>
      <c r="J222" s="36"/>
      <c r="K222" s="36"/>
      <c r="L222" s="31"/>
      <c r="M222" s="36"/>
      <c r="N222" s="31"/>
      <c r="O222" s="31" t="s">
        <v>56</v>
      </c>
    </row>
    <row r="223" spans="1:15" x14ac:dyDescent="0.4">
      <c r="A223" s="30" t="e">
        <f>MID(#REF!, 6, 2)</f>
        <v>#REF!</v>
      </c>
      <c r="B223" s="56"/>
      <c r="C223" s="31" t="s">
        <v>30</v>
      </c>
      <c r="D223" s="32" t="s">
        <v>31</v>
      </c>
      <c r="E223" s="31"/>
      <c r="F223" s="35">
        <f>[1]이용내역조회!K104</f>
        <v>0</v>
      </c>
      <c r="G223" s="31"/>
      <c r="H223" s="31"/>
      <c r="I223" s="31"/>
      <c r="J223" s="36"/>
      <c r="K223" s="36"/>
      <c r="L223" s="31"/>
      <c r="M223" s="36"/>
      <c r="N223" s="31"/>
      <c r="O223" s="31" t="s">
        <v>56</v>
      </c>
    </row>
    <row r="224" spans="1:15" x14ac:dyDescent="0.4">
      <c r="A224" s="30" t="e">
        <f>MID(#REF!, 6, 2)</f>
        <v>#REF!</v>
      </c>
      <c r="B224" s="56"/>
      <c r="C224" s="31" t="s">
        <v>30</v>
      </c>
      <c r="D224" s="32" t="s">
        <v>31</v>
      </c>
      <c r="E224" s="31"/>
      <c r="F224" s="35">
        <f>[1]이용내역조회!K105</f>
        <v>0</v>
      </c>
      <c r="G224" s="31"/>
      <c r="H224" s="31"/>
      <c r="I224" s="31"/>
      <c r="J224" s="36"/>
      <c r="K224" s="36"/>
      <c r="L224" s="31"/>
      <c r="M224" s="36"/>
      <c r="N224" s="31"/>
      <c r="O224" s="31" t="s">
        <v>56</v>
      </c>
    </row>
    <row r="225" spans="1:15" x14ac:dyDescent="0.4">
      <c r="A225" s="30" t="e">
        <f>MID(#REF!, 6, 2)</f>
        <v>#REF!</v>
      </c>
      <c r="B225" s="56"/>
      <c r="C225" s="31" t="s">
        <v>30</v>
      </c>
      <c r="D225" s="32" t="s">
        <v>31</v>
      </c>
      <c r="E225" s="31"/>
      <c r="F225" s="35">
        <f>[1]이용내역조회!K106</f>
        <v>0</v>
      </c>
      <c r="G225" s="31"/>
      <c r="H225" s="31"/>
      <c r="I225" s="31"/>
      <c r="J225" s="36"/>
      <c r="K225" s="36"/>
      <c r="L225" s="31"/>
      <c r="M225" s="36"/>
      <c r="N225" s="31"/>
      <c r="O225" s="31" t="s">
        <v>56</v>
      </c>
    </row>
    <row r="226" spans="1:15" x14ac:dyDescent="0.4">
      <c r="A226" s="30" t="e">
        <f>MID(#REF!, 6, 2)</f>
        <v>#REF!</v>
      </c>
      <c r="B226" s="56"/>
      <c r="C226" s="31" t="s">
        <v>30</v>
      </c>
      <c r="D226" s="32" t="s">
        <v>31</v>
      </c>
      <c r="E226" s="31"/>
      <c r="F226" s="35">
        <f>[1]이용내역조회!K107</f>
        <v>0</v>
      </c>
      <c r="G226" s="31"/>
      <c r="H226" s="31"/>
      <c r="I226" s="31"/>
      <c r="J226" s="36"/>
      <c r="K226" s="36"/>
      <c r="L226" s="31"/>
      <c r="M226" s="36"/>
      <c r="N226" s="31"/>
      <c r="O226" s="31" t="s">
        <v>56</v>
      </c>
    </row>
    <row r="227" spans="1:15" x14ac:dyDescent="0.4">
      <c r="A227" s="30" t="e">
        <f>MID(#REF!, 6, 2)</f>
        <v>#REF!</v>
      </c>
      <c r="B227" s="56"/>
      <c r="C227" s="31" t="s">
        <v>30</v>
      </c>
      <c r="D227" s="32" t="s">
        <v>31</v>
      </c>
      <c r="E227" s="31"/>
      <c r="F227" s="35">
        <f>[1]이용내역조회!K108</f>
        <v>0</v>
      </c>
      <c r="G227" s="31"/>
      <c r="H227" s="31"/>
      <c r="I227" s="31"/>
      <c r="J227" s="36"/>
      <c r="K227" s="36"/>
      <c r="L227" s="31"/>
      <c r="M227" s="36"/>
      <c r="N227" s="31"/>
      <c r="O227" s="31" t="s">
        <v>56</v>
      </c>
    </row>
    <row r="228" spans="1:15" x14ac:dyDescent="0.4">
      <c r="A228" s="30" t="e">
        <f>MID(#REF!, 6, 2)</f>
        <v>#REF!</v>
      </c>
      <c r="B228" s="56"/>
      <c r="C228" s="31" t="s">
        <v>30</v>
      </c>
      <c r="D228" s="32" t="s">
        <v>31</v>
      </c>
      <c r="E228" s="31"/>
      <c r="F228" s="35">
        <f>[1]이용내역조회!K109</f>
        <v>0</v>
      </c>
      <c r="G228" s="31"/>
      <c r="H228" s="31"/>
      <c r="I228" s="31"/>
      <c r="J228" s="36"/>
      <c r="K228" s="36"/>
      <c r="L228" s="31"/>
      <c r="M228" s="36"/>
      <c r="N228" s="31"/>
      <c r="O228" s="31" t="s">
        <v>56</v>
      </c>
    </row>
    <row r="229" spans="1:15" x14ac:dyDescent="0.4">
      <c r="A229" s="30" t="e">
        <f>MID(#REF!, 6, 2)</f>
        <v>#REF!</v>
      </c>
      <c r="B229" s="56"/>
      <c r="C229" s="31" t="s">
        <v>30</v>
      </c>
      <c r="D229" s="32" t="s">
        <v>31</v>
      </c>
      <c r="E229" s="31"/>
      <c r="F229" s="35">
        <f>[1]이용내역조회!K110</f>
        <v>0</v>
      </c>
      <c r="G229" s="31"/>
      <c r="H229" s="31"/>
      <c r="I229" s="31"/>
      <c r="J229" s="36"/>
      <c r="K229" s="36"/>
      <c r="L229" s="31"/>
      <c r="M229" s="36"/>
      <c r="N229" s="31"/>
      <c r="O229" s="31" t="s">
        <v>56</v>
      </c>
    </row>
    <row r="230" spans="1:15" x14ac:dyDescent="0.4">
      <c r="A230" s="30" t="e">
        <f>MID(#REF!, 6, 2)</f>
        <v>#REF!</v>
      </c>
      <c r="B230" s="56"/>
      <c r="C230" s="31" t="s">
        <v>30</v>
      </c>
      <c r="D230" s="32" t="s">
        <v>31</v>
      </c>
      <c r="E230" s="31"/>
      <c r="F230" s="35">
        <f>[1]이용내역조회!K111</f>
        <v>0</v>
      </c>
      <c r="G230" s="31"/>
      <c r="H230" s="31"/>
      <c r="I230" s="31"/>
      <c r="J230" s="36"/>
      <c r="K230" s="36"/>
      <c r="L230" s="31"/>
      <c r="M230" s="36"/>
      <c r="N230" s="31"/>
      <c r="O230" s="31" t="s">
        <v>56</v>
      </c>
    </row>
    <row r="231" spans="1:15" x14ac:dyDescent="0.4">
      <c r="A231" s="30" t="e">
        <f>MID(#REF!, 6, 2)</f>
        <v>#REF!</v>
      </c>
      <c r="B231" s="56"/>
      <c r="C231" s="31" t="s">
        <v>30</v>
      </c>
      <c r="D231" s="32" t="s">
        <v>31</v>
      </c>
      <c r="E231" s="31"/>
      <c r="F231" s="35">
        <f>[1]이용내역조회!K112</f>
        <v>0</v>
      </c>
      <c r="G231" s="31"/>
      <c r="H231" s="31"/>
      <c r="I231" s="31"/>
      <c r="J231" s="36"/>
      <c r="K231" s="36"/>
      <c r="L231" s="31"/>
      <c r="M231" s="36"/>
      <c r="N231" s="31"/>
      <c r="O231" s="31" t="s">
        <v>56</v>
      </c>
    </row>
    <row r="232" spans="1:15" x14ac:dyDescent="0.4">
      <c r="A232" s="30" t="e">
        <f>MID(#REF!, 6, 2)</f>
        <v>#REF!</v>
      </c>
      <c r="B232" s="56"/>
      <c r="C232" s="31" t="s">
        <v>30</v>
      </c>
      <c r="D232" s="32" t="s">
        <v>31</v>
      </c>
      <c r="E232" s="31"/>
      <c r="F232" s="35">
        <f>[1]이용내역조회!K113</f>
        <v>0</v>
      </c>
      <c r="G232" s="31"/>
      <c r="H232" s="31"/>
      <c r="I232" s="31"/>
      <c r="J232" s="36"/>
      <c r="K232" s="36"/>
      <c r="L232" s="31"/>
      <c r="M232" s="36"/>
      <c r="N232" s="31"/>
      <c r="O232" s="31" t="s">
        <v>56</v>
      </c>
    </row>
    <row r="233" spans="1:15" x14ac:dyDescent="0.4">
      <c r="A233" s="30" t="e">
        <f>MID(#REF!, 6, 2)</f>
        <v>#REF!</v>
      </c>
      <c r="B233" s="56"/>
      <c r="C233" s="31" t="s">
        <v>30</v>
      </c>
      <c r="D233" s="32" t="s">
        <v>31</v>
      </c>
      <c r="E233" s="31"/>
      <c r="F233" s="35">
        <f>[1]이용내역조회!K114</f>
        <v>0</v>
      </c>
      <c r="G233" s="31"/>
      <c r="H233" s="31"/>
      <c r="I233" s="31"/>
      <c r="J233" s="36"/>
      <c r="K233" s="36"/>
      <c r="L233" s="31"/>
      <c r="M233" s="36"/>
      <c r="N233" s="31"/>
      <c r="O233" s="31" t="s">
        <v>56</v>
      </c>
    </row>
    <row r="234" spans="1:15" x14ac:dyDescent="0.4">
      <c r="A234" s="30" t="e">
        <f>MID(#REF!, 6, 2)</f>
        <v>#REF!</v>
      </c>
      <c r="B234" s="56"/>
      <c r="C234" s="31" t="s">
        <v>30</v>
      </c>
      <c r="D234" s="32" t="s">
        <v>31</v>
      </c>
      <c r="E234" s="31"/>
      <c r="F234" s="35">
        <f>[1]이용내역조회!K115</f>
        <v>0</v>
      </c>
      <c r="G234" s="31"/>
      <c r="H234" s="31"/>
      <c r="I234" s="31"/>
      <c r="J234" s="36"/>
      <c r="K234" s="36"/>
      <c r="L234" s="31"/>
      <c r="M234" s="36"/>
      <c r="N234" s="31"/>
      <c r="O234" s="31" t="s">
        <v>56</v>
      </c>
    </row>
    <row r="235" spans="1:15" x14ac:dyDescent="0.4">
      <c r="A235" s="30" t="e">
        <f>MID(#REF!, 6, 2)</f>
        <v>#REF!</v>
      </c>
      <c r="B235" s="56"/>
      <c r="C235" s="31" t="s">
        <v>30</v>
      </c>
      <c r="D235" s="32" t="s">
        <v>31</v>
      </c>
      <c r="E235" s="31"/>
      <c r="F235" s="31">
        <f>[1]이용내역조회!K116</f>
        <v>0</v>
      </c>
      <c r="G235" s="31"/>
      <c r="H235" s="31"/>
      <c r="I235" s="31"/>
      <c r="J235" s="36"/>
      <c r="K235" s="36"/>
      <c r="L235" s="31"/>
      <c r="M235" s="36"/>
      <c r="N235" s="31"/>
      <c r="O235" s="31" t="s">
        <v>56</v>
      </c>
    </row>
    <row r="236" spans="1:15" x14ac:dyDescent="0.4">
      <c r="A236" s="30" t="e">
        <f>MID(#REF!, 6, 2)</f>
        <v>#REF!</v>
      </c>
      <c r="B236" s="56"/>
      <c r="C236" s="31" t="s">
        <v>30</v>
      </c>
      <c r="D236" s="32" t="s">
        <v>31</v>
      </c>
      <c r="E236" s="31"/>
      <c r="F236" s="31"/>
      <c r="G236" s="31"/>
      <c r="H236" s="31"/>
      <c r="I236" s="31"/>
      <c r="J236" s="36"/>
      <c r="K236" s="36"/>
      <c r="L236" s="31"/>
      <c r="M236" s="36"/>
      <c r="N236" s="31"/>
      <c r="O236" s="31" t="s">
        <v>56</v>
      </c>
    </row>
    <row r="237" spans="1:15" x14ac:dyDescent="0.4">
      <c r="A237" s="56"/>
      <c r="B237" s="56"/>
      <c r="C237" s="56"/>
      <c r="D237" s="56"/>
      <c r="E237" s="31"/>
      <c r="F237" s="31"/>
      <c r="G237" s="31"/>
      <c r="H237" s="31"/>
      <c r="I237" s="31"/>
      <c r="J237" s="36"/>
      <c r="K237" s="36"/>
      <c r="L237" s="31"/>
      <c r="M237" s="36"/>
      <c r="N237" s="31"/>
      <c r="O237" s="31" t="s">
        <v>56</v>
      </c>
    </row>
    <row r="238" spans="1:15" x14ac:dyDescent="0.4">
      <c r="A238" s="56"/>
      <c r="B238" s="56"/>
      <c r="C238" s="56"/>
      <c r="D238" s="56"/>
      <c r="E238" s="56"/>
      <c r="F238" s="56"/>
      <c r="G238" s="56"/>
      <c r="H238" s="56"/>
      <c r="I238" s="56"/>
      <c r="J238" s="57"/>
      <c r="K238" s="57"/>
      <c r="L238" s="58"/>
      <c r="M238" s="57"/>
      <c r="N238" s="56"/>
      <c r="O238" s="31" t="s">
        <v>56</v>
      </c>
    </row>
    <row r="239" spans="1:15" x14ac:dyDescent="0.4">
      <c r="A239" s="56"/>
      <c r="B239" s="56"/>
      <c r="C239" s="56"/>
      <c r="D239" s="56"/>
      <c r="E239" s="56"/>
      <c r="F239" s="56"/>
      <c r="G239" s="56"/>
      <c r="H239" s="56"/>
      <c r="I239" s="56"/>
      <c r="J239" s="57"/>
      <c r="K239" s="57"/>
      <c r="L239" s="58"/>
      <c r="M239" s="57"/>
      <c r="N239" s="56"/>
      <c r="O239" s="31" t="s">
        <v>56</v>
      </c>
    </row>
    <row r="240" spans="1:15" x14ac:dyDescent="0.4">
      <c r="A240" s="56"/>
      <c r="B240" s="56"/>
      <c r="C240" s="56"/>
      <c r="D240" s="56"/>
      <c r="E240" s="56"/>
      <c r="F240" s="56"/>
      <c r="G240" s="56"/>
      <c r="H240" s="56"/>
      <c r="I240" s="56"/>
      <c r="J240" s="57"/>
      <c r="K240" s="57"/>
      <c r="L240" s="58"/>
      <c r="M240" s="57"/>
      <c r="N240" s="56"/>
      <c r="O240" s="31" t="s">
        <v>56</v>
      </c>
    </row>
    <row r="241" spans="1:15" x14ac:dyDescent="0.4">
      <c r="A241" s="56"/>
      <c r="B241" s="56"/>
      <c r="C241" s="56"/>
      <c r="D241" s="56"/>
      <c r="E241" s="56"/>
      <c r="F241" s="56"/>
      <c r="G241" s="56"/>
      <c r="H241" s="56"/>
      <c r="I241" s="56"/>
      <c r="J241" s="57"/>
      <c r="K241" s="57"/>
      <c r="L241" s="58"/>
      <c r="M241" s="57"/>
      <c r="N241" s="56"/>
      <c r="O241" s="56"/>
    </row>
  </sheetData>
  <mergeCells count="17">
    <mergeCell ref="L19:L23"/>
    <mergeCell ref="M19:M23"/>
    <mergeCell ref="N19:N23"/>
    <mergeCell ref="O19:O23"/>
    <mergeCell ref="F21:I21"/>
    <mergeCell ref="J21:J23"/>
    <mergeCell ref="K21:K23"/>
    <mergeCell ref="F22:G22"/>
    <mergeCell ref="H22:I22"/>
    <mergeCell ref="A19:B21"/>
    <mergeCell ref="C19:C23"/>
    <mergeCell ref="D19:D23"/>
    <mergeCell ref="E19:E23"/>
    <mergeCell ref="F19:I19"/>
    <mergeCell ref="J19:K20"/>
    <mergeCell ref="A22:A23"/>
    <mergeCell ref="B22:B23"/>
  </mergeCells>
  <phoneticPr fontId="2" type="noConversion"/>
  <pageMargins left="0.47" right="0.51" top="0.53" bottom="0.61" header="0.31496062992125984" footer="0.31496062992125984"/>
  <pageSetup paperSize="9" scale="6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F2AF-438A-4FDF-81BD-3C1F35AB2FC4}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법인카드</vt:lpstr>
      <vt:lpstr>Sheet1</vt:lpstr>
      <vt:lpstr>법인카드!Print_Area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sangmin nam</dc:creator>
  <cp:lastModifiedBy>sangmin nam</cp:lastModifiedBy>
  <dcterms:created xsi:type="dcterms:W3CDTF">2026-03-07T00:09:51Z</dcterms:created>
  <dcterms:modified xsi:type="dcterms:W3CDTF">2026-03-07T00:11:30Z</dcterms:modified>
</cp:coreProperties>
</file>