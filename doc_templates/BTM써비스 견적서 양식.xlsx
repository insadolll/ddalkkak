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claude\"/>
    </mc:Choice>
  </mc:AlternateContent>
  <xr:revisionPtr revIDLastSave="0" documentId="13_ncr:1_{6A0D246A-1AB0-4F03-8AE3-BD0EC4D0AED1}" xr6:coauthVersionLast="47" xr6:coauthVersionMax="47" xr10:uidLastSave="{00000000-0000-0000-0000-000000000000}"/>
  <bookViews>
    <workbookView xWindow="-108" yWindow="-108" windowWidth="41496" windowHeight="16776" xr2:uid="{7E2D5EAB-D261-40E2-A3C6-427C0E781F67}"/>
  </bookViews>
  <sheets>
    <sheet name="종합" sheetId="6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6" l="1"/>
  <c r="H22" i="6"/>
  <c r="H21" i="6"/>
  <c r="H36" i="6" l="1"/>
  <c r="H37" i="6" s="1"/>
  <c r="H38" i="6" s="1"/>
</calcChain>
</file>

<file path=xl/sharedStrings.xml><?xml version="1.0" encoding="utf-8"?>
<sst xmlns="http://schemas.openxmlformats.org/spreadsheetml/2006/main" count="36" uniqueCount="34">
  <si>
    <t>견   적   서</t>
    <phoneticPr fontId="2" type="noConversion"/>
  </si>
  <si>
    <t>사업자번호</t>
    <phoneticPr fontId="2" type="noConversion"/>
  </si>
  <si>
    <t>113-81-66821</t>
    <phoneticPr fontId="2" type="noConversion"/>
  </si>
  <si>
    <t>회사명/대표</t>
    <phoneticPr fontId="2" type="noConversion"/>
  </si>
  <si>
    <t>수신</t>
    <phoneticPr fontId="2" type="noConversion"/>
  </si>
  <si>
    <t>주소</t>
    <phoneticPr fontId="2" type="noConversion"/>
  </si>
  <si>
    <t>TEL / FAX</t>
    <phoneticPr fontId="2" type="noConversion"/>
  </si>
  <si>
    <t>결제조건</t>
    <phoneticPr fontId="2" type="noConversion"/>
  </si>
  <si>
    <t>견적담당자</t>
    <phoneticPr fontId="2" type="noConversion"/>
  </si>
  <si>
    <t>유효기간</t>
    <phoneticPr fontId="2" type="noConversion"/>
  </si>
  <si>
    <t>연락처</t>
    <phoneticPr fontId="2" type="noConversion"/>
  </si>
  <si>
    <t>귀사의 일익 번창하심을 기원합니다. 하기와 같이 견적드리오니 검토하여 주시기바랍니다.</t>
    <phoneticPr fontId="2" type="noConversion"/>
  </si>
  <si>
    <t>번호</t>
    <phoneticPr fontId="2" type="noConversion"/>
  </si>
  <si>
    <t>수량</t>
    <phoneticPr fontId="2" type="noConversion"/>
  </si>
  <si>
    <t>비고</t>
    <phoneticPr fontId="2" type="noConversion"/>
  </si>
  <si>
    <t>총 금 액</t>
    <phoneticPr fontId="2" type="noConversion"/>
  </si>
  <si>
    <t>부 가 세</t>
    <phoneticPr fontId="2" type="noConversion"/>
  </si>
  <si>
    <t>총 합 계</t>
    <phoneticPr fontId="2" type="noConversion"/>
  </si>
  <si>
    <t>◆ 상기 견적에 문의사항이 있으시면 견적 담당자에게 문의 바랍니다.</t>
    <phoneticPr fontId="2" type="noConversion"/>
  </si>
  <si>
    <t>주식회사 비티엠써비스</t>
    <phoneticPr fontId="2" type="noConversion"/>
  </si>
  <si>
    <t>BTMS / 박상앙,박규준</t>
    <phoneticPr fontId="2" type="noConversion"/>
  </si>
  <si>
    <t>02-2672-3004 / 02-2672-3005</t>
    <phoneticPr fontId="2" type="noConversion"/>
  </si>
  <si>
    <t>견적번호</t>
    <phoneticPr fontId="2" type="noConversion"/>
  </si>
  <si>
    <t>견적일</t>
    <phoneticPr fontId="2" type="noConversion"/>
  </si>
  <si>
    <t>상세내역</t>
    <phoneticPr fontId="2" type="noConversion"/>
  </si>
  <si>
    <t>소비자 단가</t>
    <phoneticPr fontId="2" type="noConversion"/>
  </si>
  <si>
    <t>공급 단가</t>
    <phoneticPr fontId="2" type="noConversion"/>
  </si>
  <si>
    <t>공급 금액</t>
    <phoneticPr fontId="2" type="noConversion"/>
  </si>
  <si>
    <t>Tel. 02-2672-3004 Fax. 02-2672-3005</t>
    <phoneticPr fontId="2" type="noConversion"/>
  </si>
  <si>
    <t>분류</t>
    <phoneticPr fontId="2" type="noConversion"/>
  </si>
  <si>
    <t>담당자</t>
    <phoneticPr fontId="2" type="noConversion"/>
  </si>
  <si>
    <t>이메일</t>
    <phoneticPr fontId="2" type="noConversion"/>
  </si>
  <si>
    <t>(07217) 서울특별시 영등포구 경인로 775 1동 821호(문래동 3가, 에이스하이테크시티)</t>
    <phoneticPr fontId="2" type="noConversion"/>
  </si>
  <si>
    <t>서울시 영등포구 경인로 775, 1동 821호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</si>
</sst>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₩&quot;#,##0"/>
    <numFmt numFmtId="177" formatCode="yyyy&quot;년&quot;\ m&quot;월&quot;\ d&quot;일&quot;;@"/>
  </numFmts>
  <fonts count="9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2" borderId="4" xfId="0" applyFont="1" applyFill="1" applyBorder="1" applyAlignment="1">
      <alignment horizontal="centerContinuous" vertical="center"/>
    </xf>
    <xf numFmtId="3" fontId="1" fillId="0" borderId="0" xfId="0" applyNumberFormat="1" applyFont="1">
      <alignment vertical="center"/>
    </xf>
    <xf numFmtId="0" fontId="0" fillId="0" borderId="15" xfId="0" applyBorder="1">
      <alignment vertical="center"/>
    </xf>
    <xf numFmtId="0" fontId="5" fillId="2" borderId="7" xfId="0" applyFont="1" applyFill="1" applyBorder="1" applyAlignment="1">
      <alignment horizontal="centerContinuous" vertical="center"/>
    </xf>
    <xf numFmtId="0" fontId="0" fillId="0" borderId="18" xfId="0" applyBorder="1">
      <alignment vertical="center"/>
    </xf>
    <xf numFmtId="0" fontId="5" fillId="2" borderId="10" xfId="0" applyFont="1" applyFill="1" applyBorder="1" applyAlignment="1">
      <alignment horizontal="centerContinuous" vertical="center"/>
    </xf>
    <xf numFmtId="0" fontId="5" fillId="3" borderId="0" xfId="0" applyFont="1" applyFill="1" applyAlignment="1">
      <alignment horizontal="centerContinuous" vertical="center"/>
    </xf>
    <xf numFmtId="3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0" fontId="1" fillId="0" borderId="11" xfId="0" applyFont="1" applyBorder="1">
      <alignment vertical="center"/>
    </xf>
    <xf numFmtId="41" fontId="1" fillId="0" borderId="8" xfId="1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16" xfId="0" quotePrefix="1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9" xfId="0" applyFont="1" applyBorder="1">
      <alignment vertical="center"/>
    </xf>
    <xf numFmtId="0" fontId="1" fillId="0" borderId="8" xfId="0" applyFont="1" applyBorder="1" applyAlignment="1">
      <alignment horizontal="center" vertical="center" wrapText="1"/>
    </xf>
    <xf numFmtId="41" fontId="0" fillId="0" borderId="1" xfId="1" applyFont="1" applyBorder="1">
      <alignment vertical="center"/>
    </xf>
    <xf numFmtId="41" fontId="0" fillId="0" borderId="3" xfId="1" applyFont="1" applyBorder="1">
      <alignment vertical="center"/>
    </xf>
    <xf numFmtId="41" fontId="0" fillId="0" borderId="0" xfId="1" applyFont="1">
      <alignment vertical="center"/>
    </xf>
    <xf numFmtId="41" fontId="5" fillId="2" borderId="5" xfId="1" applyFont="1" applyFill="1" applyBorder="1" applyAlignment="1">
      <alignment horizontal="center" vertical="center"/>
    </xf>
    <xf numFmtId="41" fontId="1" fillId="0" borderId="8" xfId="1" applyFont="1" applyBorder="1" applyAlignment="1">
      <alignment horizontal="center" vertical="center"/>
    </xf>
    <xf numFmtId="41" fontId="1" fillId="0" borderId="11" xfId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0" xfId="0" applyFont="1" applyAlignment="1">
      <alignment horizontal="distributed" vertical="center" indent="1"/>
    </xf>
    <xf numFmtId="0" fontId="1" fillId="0" borderId="0" xfId="0" applyFont="1" applyAlignment="1">
      <alignment horizontal="center" vertical="center"/>
    </xf>
    <xf numFmtId="176" fontId="1" fillId="0" borderId="13" xfId="0" applyNumberFormat="1" applyFont="1" applyBorder="1" applyAlignment="1">
      <alignment horizontal="distributed" vertical="center" indent="1"/>
    </xf>
    <xf numFmtId="176" fontId="1" fillId="0" borderId="14" xfId="0" applyNumberFormat="1" applyFont="1" applyBorder="1" applyAlignment="1">
      <alignment horizontal="distributed" vertical="center" indent="1"/>
    </xf>
    <xf numFmtId="176" fontId="1" fillId="0" borderId="16" xfId="0" applyNumberFormat="1" applyFont="1" applyBorder="1" applyAlignment="1">
      <alignment horizontal="distributed" vertical="center" indent="1"/>
    </xf>
    <xf numFmtId="176" fontId="1" fillId="0" borderId="17" xfId="0" applyNumberFormat="1" applyFont="1" applyBorder="1" applyAlignment="1">
      <alignment horizontal="distributed" vertical="center" indent="1"/>
    </xf>
    <xf numFmtId="176" fontId="1" fillId="0" borderId="19" xfId="0" applyNumberFormat="1" applyFont="1" applyBorder="1" applyAlignment="1">
      <alignment horizontal="distributed" vertical="center" indent="1"/>
    </xf>
    <xf numFmtId="176" fontId="1" fillId="0" borderId="20" xfId="0" applyNumberFormat="1" applyFont="1" applyBorder="1" applyAlignment="1">
      <alignment horizontal="distributed" vertical="center" indent="1"/>
    </xf>
    <xf numFmtId="0" fontId="1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106680</xdr:rowOff>
    </xdr:from>
    <xdr:to>
      <xdr:col>3</xdr:col>
      <xdr:colOff>861</xdr:colOff>
      <xdr:row>5</xdr:row>
      <xdr:rowOff>100044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4A48A8-EAB6-4966-9A32-6D58D23D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" y="322580"/>
          <a:ext cx="1546451" cy="853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B32E-E63D-4379-A3C8-DDFCA800225E}">
  <dimension ref="B4:J41"/>
  <sheetViews>
    <sheetView tabSelected="1" workbookViewId="0">
      <selection activeCell="AB9" sqref="AB9"/>
    </sheetView>
  </sheetViews>
  <sheetFormatPr defaultRowHeight="17.399999999999999" x14ac:dyDescent="0.4"/>
  <cols>
    <col min="1" max="1" width="3.59765625" customWidth="1"/>
    <col min="2" max="2" width="4.5" bestFit="1" customWidth="1"/>
    <col min="3" max="3" width="17.796875" bestFit="1" customWidth="1"/>
    <col min="4" max="4" width="30.69921875" customWidth="1"/>
    <col min="5" max="5" width="6.796875" customWidth="1"/>
    <col min="6" max="6" width="10.8984375" style="34" bestFit="1" customWidth="1"/>
    <col min="7" max="7" width="13" customWidth="1"/>
    <col min="8" max="8" width="15.5" customWidth="1"/>
    <col min="9" max="9" width="13" customWidth="1"/>
    <col min="10" max="10" width="3.59765625" customWidth="1"/>
  </cols>
  <sheetData>
    <row r="4" spans="2:10" x14ac:dyDescent="0.4">
      <c r="B4" s="51" t="s">
        <v>32</v>
      </c>
      <c r="C4" s="51"/>
      <c r="D4" s="51"/>
      <c r="E4" s="51"/>
      <c r="F4" s="51"/>
      <c r="G4" s="51"/>
      <c r="H4" s="51"/>
      <c r="I4" s="51"/>
      <c r="J4" s="1"/>
    </row>
    <row r="5" spans="2:10" x14ac:dyDescent="0.4">
      <c r="B5" s="51" t="s">
        <v>28</v>
      </c>
      <c r="C5" s="51"/>
      <c r="D5" s="51"/>
      <c r="E5" s="51"/>
      <c r="F5" s="51"/>
      <c r="G5" s="51"/>
      <c r="H5" s="51"/>
      <c r="I5" s="51"/>
      <c r="J5" s="1"/>
    </row>
    <row r="6" spans="2:10" ht="18" thickBot="1" x14ac:dyDescent="0.45">
      <c r="B6" s="2"/>
      <c r="C6" s="2"/>
      <c r="D6" s="2"/>
      <c r="E6" s="2"/>
      <c r="F6" s="32"/>
      <c r="G6" s="2"/>
      <c r="H6" s="2"/>
      <c r="I6" s="2"/>
    </row>
    <row r="7" spans="2:10" ht="18" thickTop="1" x14ac:dyDescent="0.4">
      <c r="B7" s="52" t="s">
        <v>0</v>
      </c>
      <c r="C7" s="52"/>
      <c r="D7" s="52"/>
      <c r="E7" s="52"/>
      <c r="F7" s="52"/>
      <c r="G7" s="52"/>
      <c r="H7" s="52"/>
      <c r="I7" s="52"/>
    </row>
    <row r="8" spans="2:10" x14ac:dyDescent="0.4">
      <c r="B8" s="53"/>
      <c r="C8" s="53"/>
      <c r="D8" s="53"/>
      <c r="E8" s="53"/>
      <c r="F8" s="53"/>
      <c r="G8" s="53"/>
      <c r="H8" s="53"/>
      <c r="I8" s="53"/>
    </row>
    <row r="9" spans="2:10" ht="16.5" customHeight="1" x14ac:dyDescent="0.4">
      <c r="B9" s="43" t="s">
        <v>22</v>
      </c>
      <c r="C9" s="43"/>
      <c r="D9" s="23"/>
      <c r="E9" s="3"/>
      <c r="F9" s="43" t="s">
        <v>1</v>
      </c>
      <c r="G9" s="43"/>
      <c r="H9" s="3" t="s">
        <v>2</v>
      </c>
      <c r="I9" s="3"/>
      <c r="J9" s="3"/>
    </row>
    <row r="10" spans="2:10" ht="16.95" customHeight="1" x14ac:dyDescent="0.4">
      <c r="B10" s="43" t="s">
        <v>23</v>
      </c>
      <c r="C10" s="43"/>
      <c r="D10" s="24"/>
      <c r="E10" s="3"/>
      <c r="F10" s="43" t="s">
        <v>3</v>
      </c>
      <c r="G10" s="43"/>
      <c r="H10" s="3" t="s">
        <v>20</v>
      </c>
      <c r="I10" s="3"/>
      <c r="J10" s="3"/>
    </row>
    <row r="11" spans="2:10" x14ac:dyDescent="0.4">
      <c r="B11" s="43" t="s">
        <v>4</v>
      </c>
      <c r="C11" s="43"/>
      <c r="D11" s="23"/>
      <c r="E11" s="3"/>
      <c r="F11" s="43" t="s">
        <v>5</v>
      </c>
      <c r="G11" s="43"/>
      <c r="H11" s="3" t="s">
        <v>33</v>
      </c>
      <c r="I11" s="3"/>
      <c r="J11" s="3"/>
    </row>
    <row r="12" spans="2:10" ht="16.95" customHeight="1" x14ac:dyDescent="0.4">
      <c r="B12" s="43" t="s">
        <v>30</v>
      </c>
      <c r="C12" s="43"/>
      <c r="D12" s="23"/>
      <c r="E12" s="3"/>
      <c r="F12" s="43" t="s">
        <v>6</v>
      </c>
      <c r="G12" s="43"/>
      <c r="H12" s="3" t="s">
        <v>21</v>
      </c>
      <c r="I12" s="3"/>
      <c r="J12" s="3"/>
    </row>
    <row r="13" spans="2:10" ht="16.95" customHeight="1" x14ac:dyDescent="0.4">
      <c r="B13" s="43" t="s">
        <v>6</v>
      </c>
      <c r="C13" s="43"/>
      <c r="D13" s="23"/>
      <c r="E13" s="3"/>
      <c r="F13" s="43" t="s">
        <v>8</v>
      </c>
      <c r="G13" s="43"/>
      <c r="H13" s="3"/>
      <c r="I13" s="3"/>
      <c r="J13" s="3"/>
    </row>
    <row r="14" spans="2:10" ht="16.95" customHeight="1" x14ac:dyDescent="0.4">
      <c r="B14" s="43" t="s">
        <v>7</v>
      </c>
      <c r="C14" s="43"/>
      <c r="D14" s="23"/>
      <c r="E14" s="3"/>
      <c r="F14" s="43" t="s">
        <v>10</v>
      </c>
      <c r="G14" s="43"/>
      <c r="H14" s="3"/>
      <c r="I14" s="3"/>
      <c r="J14" s="3"/>
    </row>
    <row r="15" spans="2:10" ht="16.5" customHeight="1" x14ac:dyDescent="0.4">
      <c r="B15" s="43" t="s">
        <v>9</v>
      </c>
      <c r="C15" s="43"/>
      <c r="D15" s="23"/>
      <c r="E15" s="3"/>
      <c r="F15" s="43" t="s">
        <v>31</v>
      </c>
      <c r="G15" s="43"/>
      <c r="H15" s="3"/>
      <c r="I15" s="3"/>
      <c r="J15" s="3"/>
    </row>
    <row r="16" spans="2:10" ht="18" thickBot="1" x14ac:dyDescent="0.45">
      <c r="B16" s="4"/>
      <c r="C16" s="4"/>
      <c r="D16" s="4"/>
      <c r="E16" s="4"/>
      <c r="F16" s="33"/>
      <c r="G16" s="4"/>
      <c r="H16" s="4"/>
      <c r="I16" s="4"/>
    </row>
    <row r="17" spans="2:10" ht="18" thickTop="1" x14ac:dyDescent="0.4"/>
    <row r="18" spans="2:10" x14ac:dyDescent="0.4">
      <c r="B18" s="44" t="s">
        <v>11</v>
      </c>
      <c r="C18" s="44"/>
      <c r="D18" s="44"/>
      <c r="E18" s="44"/>
      <c r="F18" s="44"/>
      <c r="G18" s="44"/>
      <c r="H18" s="44"/>
      <c r="I18" s="44"/>
      <c r="J18" s="5"/>
    </row>
    <row r="19" spans="2:10" ht="18" thickBot="1" x14ac:dyDescent="0.45"/>
    <row r="20" spans="2:10" x14ac:dyDescent="0.4">
      <c r="B20" s="6" t="s">
        <v>12</v>
      </c>
      <c r="C20" s="7" t="s">
        <v>29</v>
      </c>
      <c r="D20" s="27" t="s">
        <v>24</v>
      </c>
      <c r="E20" s="7" t="s">
        <v>13</v>
      </c>
      <c r="F20" s="35" t="s">
        <v>25</v>
      </c>
      <c r="G20" s="7" t="s">
        <v>26</v>
      </c>
      <c r="H20" s="7" t="s">
        <v>27</v>
      </c>
      <c r="I20" s="8" t="s">
        <v>14</v>
      </c>
      <c r="J20" s="5"/>
    </row>
    <row r="21" spans="2:10" x14ac:dyDescent="0.4">
      <c r="B21" s="9"/>
      <c r="C21" s="10"/>
      <c r="D21" s="28"/>
      <c r="E21" s="31"/>
      <c r="F21" s="36"/>
      <c r="G21" s="26"/>
      <c r="H21" s="26">
        <f>G21*E21</f>
        <v>0</v>
      </c>
      <c r="I21" s="40"/>
      <c r="J21" s="5"/>
    </row>
    <row r="22" spans="2:10" x14ac:dyDescent="0.4">
      <c r="B22" s="9"/>
      <c r="C22" s="10"/>
      <c r="D22" s="28"/>
      <c r="E22" s="31"/>
      <c r="F22" s="36"/>
      <c r="G22" s="26"/>
      <c r="H22" s="26">
        <f>G22*E22</f>
        <v>0</v>
      </c>
      <c r="I22" s="40"/>
      <c r="J22" s="5"/>
    </row>
    <row r="23" spans="2:10" x14ac:dyDescent="0.4">
      <c r="B23" s="9"/>
      <c r="C23" s="10"/>
      <c r="D23" s="28"/>
      <c r="E23" s="31"/>
      <c r="F23" s="36"/>
      <c r="G23" s="26"/>
      <c r="H23" s="26">
        <f>G23*E23</f>
        <v>0</v>
      </c>
      <c r="I23" s="40"/>
      <c r="J23" s="5"/>
    </row>
    <row r="24" spans="2:10" x14ac:dyDescent="0.4">
      <c r="B24" s="9"/>
      <c r="C24" s="10"/>
      <c r="D24" s="28"/>
      <c r="E24" s="31"/>
      <c r="F24" s="36"/>
      <c r="G24" s="26"/>
      <c r="H24" s="26"/>
      <c r="I24" s="40"/>
      <c r="J24" s="5"/>
    </row>
    <row r="25" spans="2:10" x14ac:dyDescent="0.4">
      <c r="B25" s="9"/>
      <c r="C25" s="10"/>
      <c r="D25" s="28"/>
      <c r="E25" s="31"/>
      <c r="F25" s="36"/>
      <c r="G25" s="26"/>
      <c r="H25" s="26"/>
      <c r="I25" s="40"/>
      <c r="J25" s="5"/>
    </row>
    <row r="26" spans="2:10" x14ac:dyDescent="0.4">
      <c r="B26" s="9"/>
      <c r="C26" s="10"/>
      <c r="D26" s="28"/>
      <c r="E26" s="31"/>
      <c r="F26" s="36"/>
      <c r="G26" s="26"/>
      <c r="H26" s="26"/>
      <c r="I26" s="40"/>
      <c r="J26" s="5"/>
    </row>
    <row r="27" spans="2:10" x14ac:dyDescent="0.4">
      <c r="B27" s="9"/>
      <c r="C27" s="10"/>
      <c r="D27" s="28"/>
      <c r="E27" s="31"/>
      <c r="F27" s="36"/>
      <c r="G27" s="26"/>
      <c r="H27" s="26"/>
      <c r="I27" s="40"/>
      <c r="J27" s="5"/>
    </row>
    <row r="28" spans="2:10" x14ac:dyDescent="0.4">
      <c r="B28" s="9"/>
      <c r="C28" s="38"/>
      <c r="D28" s="29"/>
      <c r="E28" s="31"/>
      <c r="F28" s="36"/>
      <c r="G28" s="26"/>
      <c r="H28" s="26"/>
      <c r="I28" s="40"/>
      <c r="J28" s="5"/>
    </row>
    <row r="29" spans="2:10" x14ac:dyDescent="0.4">
      <c r="B29" s="9"/>
      <c r="C29" s="38"/>
      <c r="D29" s="29"/>
      <c r="E29" s="31"/>
      <c r="F29" s="36"/>
      <c r="G29" s="26"/>
      <c r="H29" s="26"/>
      <c r="I29" s="40"/>
      <c r="J29" s="5"/>
    </row>
    <row r="30" spans="2:10" x14ac:dyDescent="0.4">
      <c r="B30" s="9"/>
      <c r="C30" s="38"/>
      <c r="D30" s="29"/>
      <c r="E30" s="31"/>
      <c r="F30" s="36"/>
      <c r="G30" s="26"/>
      <c r="H30" s="26"/>
      <c r="I30" s="40"/>
      <c r="J30" s="5"/>
    </row>
    <row r="31" spans="2:10" ht="18" thickBot="1" x14ac:dyDescent="0.45">
      <c r="B31" s="11"/>
      <c r="C31" s="39"/>
      <c r="D31" s="30"/>
      <c r="E31" s="12"/>
      <c r="F31" s="37"/>
      <c r="G31" s="25"/>
      <c r="H31" s="25"/>
      <c r="I31" s="13"/>
      <c r="J31" s="5"/>
    </row>
    <row r="35" spans="2:10" ht="18" thickBot="1" x14ac:dyDescent="0.45"/>
    <row r="36" spans="2:10" x14ac:dyDescent="0.4">
      <c r="C36" s="14" t="s">
        <v>14</v>
      </c>
      <c r="G36" s="15" t="s">
        <v>15</v>
      </c>
      <c r="H36" s="45">
        <f>SUM(H21:H31)</f>
        <v>0</v>
      </c>
      <c r="I36" s="46"/>
      <c r="J36" s="16"/>
    </row>
    <row r="37" spans="2:10" ht="18" thickBot="1" x14ac:dyDescent="0.45">
      <c r="C37" s="17"/>
      <c r="D37" s="17"/>
      <c r="E37" s="17"/>
      <c r="G37" s="18" t="s">
        <v>16</v>
      </c>
      <c r="H37" s="47">
        <f>H36*0.1</f>
        <v>0</v>
      </c>
      <c r="I37" s="48"/>
      <c r="J37" s="16"/>
    </row>
    <row r="38" spans="2:10" ht="18.600000000000001" thickTop="1" thickBot="1" x14ac:dyDescent="0.45">
      <c r="C38" s="19"/>
      <c r="D38" s="19"/>
      <c r="E38" s="19"/>
      <c r="G38" s="20" t="s">
        <v>17</v>
      </c>
      <c r="H38" s="49">
        <f>SUM(H36:I37)</f>
        <v>0</v>
      </c>
      <c r="I38" s="50"/>
      <c r="J38" s="16"/>
    </row>
    <row r="39" spans="2:10" ht="18" thickTop="1" x14ac:dyDescent="0.4">
      <c r="G39" s="21"/>
      <c r="H39" s="22"/>
      <c r="I39" s="16"/>
      <c r="J39" s="16"/>
    </row>
    <row r="40" spans="2:10" ht="18" thickBot="1" x14ac:dyDescent="0.45">
      <c r="B40" s="2"/>
      <c r="C40" s="2"/>
      <c r="D40" s="2"/>
      <c r="E40" s="2"/>
      <c r="F40" s="32"/>
      <c r="G40" s="2"/>
      <c r="H40" s="2"/>
      <c r="I40" s="2"/>
    </row>
    <row r="41" spans="2:10" ht="18" thickTop="1" x14ac:dyDescent="0.4">
      <c r="B41" s="41" t="s">
        <v>18</v>
      </c>
      <c r="C41" s="41"/>
      <c r="D41" s="41"/>
      <c r="E41" s="41"/>
      <c r="F41" s="41"/>
      <c r="H41" s="42" t="s">
        <v>19</v>
      </c>
      <c r="I41" s="42"/>
    </row>
  </sheetData>
  <mergeCells count="23">
    <mergeCell ref="B10:C10"/>
    <mergeCell ref="F10:G10"/>
    <mergeCell ref="B4:I4"/>
    <mergeCell ref="B5:I5"/>
    <mergeCell ref="B7:I8"/>
    <mergeCell ref="B9:C9"/>
    <mergeCell ref="F9:G9"/>
    <mergeCell ref="B11:C11"/>
    <mergeCell ref="F11:G11"/>
    <mergeCell ref="B12:C12"/>
    <mergeCell ref="F12:G12"/>
    <mergeCell ref="B13:C13"/>
    <mergeCell ref="F13:G13"/>
    <mergeCell ref="B41:F41"/>
    <mergeCell ref="H41:I41"/>
    <mergeCell ref="B14:C14"/>
    <mergeCell ref="F14:G14"/>
    <mergeCell ref="B15:C15"/>
    <mergeCell ref="F15:G15"/>
    <mergeCell ref="B18:I18"/>
    <mergeCell ref="H36:I36"/>
    <mergeCell ref="H37:I37"/>
    <mergeCell ref="H38:I38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272B-149D-4EB0-95CD-8C882EB435A6}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나영</dc:creator>
  <cp:lastModifiedBy>sangmin nam</cp:lastModifiedBy>
  <cp:lastPrinted>2025-10-26T03:26:13Z</cp:lastPrinted>
  <dcterms:created xsi:type="dcterms:W3CDTF">2025-09-10T05:11:00Z</dcterms:created>
  <dcterms:modified xsi:type="dcterms:W3CDTF">2026-03-12T04:17:04Z</dcterms:modified>
</cp:coreProperties>
</file>