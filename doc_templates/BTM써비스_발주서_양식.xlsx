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고객사\텔콘알에프제약\발주서\"/>
    </mc:Choice>
  </mc:AlternateContent>
  <xr:revisionPtr revIDLastSave="0" documentId="8_{0E505CC5-234B-461B-9E0A-642A3C6A04F4}" xr6:coauthVersionLast="47" xr6:coauthVersionMax="47" xr10:uidLastSave="{00000000-0000-0000-0000-000000000000}"/>
  <bookViews>
    <workbookView xWindow="2616" yWindow="2616" windowWidth="30960" windowHeight="12120" xr2:uid="{231A516B-32B7-42BD-9FAE-059B8A1C2627}"/>
  </bookViews>
  <sheets>
    <sheet name="발주서" sheetId="1" r:id="rId1"/>
  </sheets>
  <definedNames>
    <definedName name="_xlnm.Print_Area" localSheetId="0">발주서!$A$1:$K$42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I23" i="1"/>
  <c r="I24" i="1"/>
  <c r="I21" i="1"/>
  <c r="J35" i="1" l="1"/>
  <c r="J36" i="1" s="1"/>
  <c r="J37" i="1" s="1"/>
</calcChain>
</file>

<file path=xl/sharedStrings.xml><?xml version="1.0" encoding="utf-8"?>
<sst xmlns="http://schemas.openxmlformats.org/spreadsheetml/2006/main" count="50" uniqueCount="45">
  <si>
    <t>발   주   서</t>
    <phoneticPr fontId="2" type="noConversion"/>
  </si>
  <si>
    <t>일 련 번 호</t>
    <phoneticPr fontId="2" type="noConversion"/>
  </si>
  <si>
    <t>사업자번호</t>
    <phoneticPr fontId="2" type="noConversion"/>
  </si>
  <si>
    <t>113-81-66821</t>
    <phoneticPr fontId="2" type="noConversion"/>
  </si>
  <si>
    <t>견   적   일</t>
    <phoneticPr fontId="2" type="noConversion"/>
  </si>
  <si>
    <t>회사명/대표</t>
    <phoneticPr fontId="2" type="noConversion"/>
  </si>
  <si>
    <t>비티엠써비스 주식회사</t>
    <phoneticPr fontId="2" type="noConversion"/>
  </si>
  <si>
    <t>주소</t>
    <phoneticPr fontId="2" type="noConversion"/>
  </si>
  <si>
    <t>업태/종목</t>
    <phoneticPr fontId="2" type="noConversion"/>
  </si>
  <si>
    <t>정보통신업 / 소프트웨어개발</t>
    <phoneticPr fontId="2" type="noConversion"/>
  </si>
  <si>
    <t>TEL / FAX</t>
    <phoneticPr fontId="2" type="noConversion"/>
  </si>
  <si>
    <t>결제조건</t>
    <phoneticPr fontId="2" type="noConversion"/>
  </si>
  <si>
    <t>견적담당자</t>
    <phoneticPr fontId="2" type="noConversion"/>
  </si>
  <si>
    <t>유효기간</t>
    <phoneticPr fontId="2" type="noConversion"/>
  </si>
  <si>
    <t>연락처</t>
    <phoneticPr fontId="2" type="noConversion"/>
  </si>
  <si>
    <t>귀사의 일익 번창하심을 기원합니다. 하기와 같이 발주드리오니 검토하여 주시기바랍니다.</t>
    <phoneticPr fontId="2" type="noConversion"/>
  </si>
  <si>
    <t>번호</t>
    <phoneticPr fontId="2" type="noConversion"/>
  </si>
  <si>
    <t>수량</t>
    <phoneticPr fontId="2" type="noConversion"/>
  </si>
  <si>
    <t>금액</t>
    <phoneticPr fontId="2" type="noConversion"/>
  </si>
  <si>
    <t>비고</t>
    <phoneticPr fontId="2" type="noConversion"/>
  </si>
  <si>
    <t>총 금 액</t>
    <phoneticPr fontId="2" type="noConversion"/>
  </si>
  <si>
    <t>KRW</t>
    <phoneticPr fontId="2" type="noConversion"/>
  </si>
  <si>
    <t>부 가 세</t>
    <phoneticPr fontId="2" type="noConversion"/>
  </si>
  <si>
    <t xml:space="preserve"> </t>
    <phoneticPr fontId="2" type="noConversion"/>
  </si>
  <si>
    <t>총 합 계</t>
    <phoneticPr fontId="2" type="noConversion"/>
  </si>
  <si>
    <t>◆ 상기 내용에 문의사항이 있으시면 담당자에게 문의 바랍니다.</t>
    <phoneticPr fontId="2" type="noConversion"/>
  </si>
  <si>
    <t>전달사항</t>
    <phoneticPr fontId="2" type="noConversion"/>
  </si>
  <si>
    <t>업체명</t>
    <phoneticPr fontId="2" type="noConversion"/>
  </si>
  <si>
    <t>담당자</t>
    <phoneticPr fontId="2" type="noConversion"/>
  </si>
  <si>
    <t>02-2672-3004 / 02-2672-3005</t>
    <phoneticPr fontId="2" type="noConversion"/>
  </si>
  <si>
    <t>단가</t>
    <phoneticPr fontId="2" type="noConversion"/>
  </si>
  <si>
    <t>Tel. 02-2672-3004 Fax. 02-2672-3005</t>
    <phoneticPr fontId="2" type="noConversion"/>
  </si>
  <si>
    <t>이메일</t>
    <phoneticPr fontId="2" type="noConversion"/>
  </si>
  <si>
    <t>품번</t>
    <phoneticPr fontId="2" type="noConversion"/>
  </si>
  <si>
    <t>품명</t>
    <phoneticPr fontId="2" type="noConversion"/>
  </si>
  <si>
    <t>0572 7351</t>
    <phoneticPr fontId="2" type="noConversion"/>
  </si>
  <si>
    <t>520572 1001</t>
    <phoneticPr fontId="2" type="noConversion"/>
  </si>
  <si>
    <t>0516 1035</t>
    <phoneticPr fontId="2" type="noConversion"/>
  </si>
  <si>
    <t>520520 0101</t>
    <phoneticPr fontId="2" type="noConversion"/>
  </si>
  <si>
    <t>testo 735-1</t>
    <phoneticPr fontId="2" type="noConversion"/>
  </si>
  <si>
    <t>K type 제작 온도 프로브</t>
    <phoneticPr fontId="2" type="noConversion"/>
  </si>
  <si>
    <t>플라스틱 보관 케이스</t>
    <phoneticPr fontId="2" type="noConversion"/>
  </si>
  <si>
    <t>KOLAS 검교정</t>
    <phoneticPr fontId="2" type="noConversion"/>
  </si>
  <si>
    <t xml:space="preserve">서울시 영등포구 경인로775 </t>
    <phoneticPr fontId="2" type="noConversion"/>
  </si>
  <si>
    <t>(07217) 서울특별시 영등포구 경인로775 1동 801호(문래동3가, 에이스하이테크시티)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</si>
</sst>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₩&quot;#,##0;[Red]\-&quot;₩&quot;#,##0"/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0" tint="-0.499984740745262"/>
      </bottom>
      <diagonal/>
    </border>
    <border>
      <left/>
      <right/>
      <top style="thick">
        <color theme="0" tint="-0.499984740745262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3" fillId="0" borderId="0" xfId="0" applyFont="1" applyAlignment="1">
      <alignment horizontal="right" vertical="center"/>
    </xf>
    <xf numFmtId="0" fontId="0" fillId="0" borderId="1" xfId="0" applyBorder="1">
      <alignment vertical="center"/>
    </xf>
    <xf numFmtId="0" fontId="6" fillId="0" borderId="0" xfId="0" applyFont="1">
      <alignment vertical="center"/>
    </xf>
    <xf numFmtId="0" fontId="0" fillId="0" borderId="3" xfId="0" applyBorder="1">
      <alignment vertical="center"/>
    </xf>
    <xf numFmtId="0" fontId="1" fillId="0" borderId="0" xfId="0" applyFont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6" fontId="1" fillId="0" borderId="11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1" fillId="0" borderId="22" xfId="0" applyFont="1" applyBorder="1">
      <alignment vertical="center"/>
    </xf>
    <xf numFmtId="0" fontId="5" fillId="2" borderId="4" xfId="0" applyFont="1" applyFill="1" applyBorder="1" applyAlignment="1">
      <alignment horizontal="centerContinuous" vertical="center"/>
    </xf>
    <xf numFmtId="0" fontId="1" fillId="0" borderId="6" xfId="0" applyFont="1" applyBorder="1" applyAlignment="1">
      <alignment horizontal="right" vertical="center"/>
    </xf>
    <xf numFmtId="3" fontId="1" fillId="0" borderId="23" xfId="0" applyNumberFormat="1" applyFont="1" applyBorder="1">
      <alignment vertical="center"/>
    </xf>
    <xf numFmtId="3" fontId="1" fillId="0" borderId="0" xfId="0" applyNumberFormat="1" applyFont="1">
      <alignment vertical="center"/>
    </xf>
    <xf numFmtId="0" fontId="5" fillId="2" borderId="10" xfId="0" applyFont="1" applyFill="1" applyBorder="1" applyAlignment="1">
      <alignment horizontal="centerContinuous" vertical="center"/>
    </xf>
    <xf numFmtId="0" fontId="1" fillId="0" borderId="12" xfId="0" applyFont="1" applyBorder="1" applyAlignment="1">
      <alignment horizontal="right" vertical="center"/>
    </xf>
    <xf numFmtId="3" fontId="1" fillId="0" borderId="25" xfId="0" applyNumberFormat="1" applyFont="1" applyBorder="1">
      <alignment vertical="center"/>
    </xf>
    <xf numFmtId="0" fontId="5" fillId="2" borderId="16" xfId="0" applyFont="1" applyFill="1" applyBorder="1" applyAlignment="1">
      <alignment horizontal="centerContinuous" vertical="center"/>
    </xf>
    <xf numFmtId="3" fontId="1" fillId="0" borderId="18" xfId="0" applyNumberFormat="1" applyFont="1" applyBorder="1" applyAlignment="1">
      <alignment horizontal="right" vertical="center"/>
    </xf>
    <xf numFmtId="3" fontId="1" fillId="0" borderId="26" xfId="0" applyNumberFormat="1" applyFont="1" applyBorder="1">
      <alignment vertical="center"/>
    </xf>
    <xf numFmtId="0" fontId="1" fillId="0" borderId="0" xfId="0" applyFont="1">
      <alignment vertical="center"/>
    </xf>
    <xf numFmtId="0" fontId="1" fillId="0" borderId="27" xfId="0" applyFont="1" applyBorder="1">
      <alignment vertical="center"/>
    </xf>
    <xf numFmtId="0" fontId="1" fillId="0" borderId="11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3" fontId="1" fillId="0" borderId="0" xfId="0" applyNumberFormat="1" applyFont="1" applyAlignment="1">
      <alignment horizontal="right" vertical="center"/>
    </xf>
    <xf numFmtId="0" fontId="6" fillId="0" borderId="3" xfId="0" applyFont="1" applyBorder="1">
      <alignment vertical="center"/>
    </xf>
    <xf numFmtId="41" fontId="1" fillId="0" borderId="11" xfId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5" fillId="0" borderId="0" xfId="0" applyFont="1" applyAlignment="1">
      <alignment horizontal="distributed" vertical="center" indent="1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0" borderId="2" xfId="0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distributed" vertical="center" indent="1"/>
    </xf>
    <xf numFmtId="0" fontId="1" fillId="0" borderId="2" xfId="0" applyFont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</xdr:colOff>
      <xdr:row>0</xdr:row>
      <xdr:rowOff>152400</xdr:rowOff>
    </xdr:from>
    <xdr:to>
      <xdr:col>2</xdr:col>
      <xdr:colOff>1202825</xdr:colOff>
      <xdr:row>4</xdr:row>
      <xdr:rowOff>152477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2A52485-CA82-4841-A796-CDC9D1A07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0" y="373380"/>
          <a:ext cx="1562235" cy="8839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AE886-B20E-4682-AB9D-F33B85C8D9B8}">
  <sheetPr>
    <pageSetUpPr fitToPage="1"/>
  </sheetPr>
  <dimension ref="B3:K40"/>
  <sheetViews>
    <sheetView showGridLines="0" tabSelected="1" view="pageBreakPreview" zoomScaleNormal="100" zoomScaleSheetLayoutView="100" workbookViewId="0">
      <selection activeCell="P12" sqref="P12"/>
    </sheetView>
  </sheetViews>
  <sheetFormatPr defaultRowHeight="17.399999999999999" x14ac:dyDescent="0.4"/>
  <cols>
    <col min="1" max="1" width="3.59765625" customWidth="1"/>
    <col min="2" max="2" width="4.5" bestFit="1" customWidth="1"/>
    <col min="3" max="3" width="16.59765625" customWidth="1"/>
    <col min="4" max="4" width="13.69921875" customWidth="1"/>
    <col min="5" max="5" width="9.3984375" customWidth="1"/>
    <col min="6" max="6" width="4.5" customWidth="1"/>
    <col min="7" max="7" width="6.69921875" customWidth="1"/>
    <col min="8" max="8" width="12.5" customWidth="1"/>
    <col min="9" max="9" width="13.19921875" customWidth="1"/>
    <col min="10" max="10" width="9.59765625" customWidth="1"/>
    <col min="11" max="11" width="3.59765625" customWidth="1"/>
  </cols>
  <sheetData>
    <row r="3" spans="2:11" x14ac:dyDescent="0.4">
      <c r="B3" s="46" t="s">
        <v>44</v>
      </c>
      <c r="C3" s="46"/>
      <c r="D3" s="46"/>
      <c r="E3" s="46"/>
      <c r="F3" s="46"/>
      <c r="G3" s="46"/>
      <c r="H3" s="46"/>
      <c r="I3" s="46"/>
      <c r="J3" s="46"/>
      <c r="K3" s="1"/>
    </row>
    <row r="4" spans="2:11" x14ac:dyDescent="0.4">
      <c r="B4" s="46" t="s">
        <v>31</v>
      </c>
      <c r="C4" s="46"/>
      <c r="D4" s="46"/>
      <c r="E4" s="46"/>
      <c r="F4" s="46"/>
      <c r="G4" s="46"/>
      <c r="H4" s="46"/>
      <c r="I4" s="46"/>
      <c r="J4" s="46"/>
      <c r="K4" s="1"/>
    </row>
    <row r="5" spans="2:11" ht="18" thickBot="1" x14ac:dyDescent="0.45">
      <c r="B5" s="2"/>
      <c r="C5" s="2"/>
      <c r="D5" s="2"/>
      <c r="E5" s="2"/>
      <c r="F5" s="2"/>
      <c r="G5" s="2"/>
      <c r="H5" s="2"/>
      <c r="I5" s="2"/>
      <c r="J5" s="2"/>
    </row>
    <row r="6" spans="2:11" ht="18" thickTop="1" x14ac:dyDescent="0.4">
      <c r="B6" s="47" t="s">
        <v>0</v>
      </c>
      <c r="C6" s="47"/>
      <c r="D6" s="47"/>
      <c r="E6" s="47"/>
      <c r="F6" s="47"/>
      <c r="G6" s="47"/>
      <c r="H6" s="47"/>
      <c r="I6" s="47"/>
      <c r="J6" s="47"/>
    </row>
    <row r="7" spans="2:11" x14ac:dyDescent="0.4">
      <c r="B7" s="48"/>
      <c r="C7" s="48"/>
      <c r="D7" s="48"/>
      <c r="E7" s="48"/>
      <c r="F7" s="48"/>
      <c r="G7" s="48"/>
      <c r="H7" s="48"/>
      <c r="I7" s="48"/>
      <c r="J7" s="48"/>
    </row>
    <row r="8" spans="2:11" ht="16.5" customHeight="1" x14ac:dyDescent="0.4">
      <c r="B8" s="44" t="s">
        <v>1</v>
      </c>
      <c r="C8" s="44"/>
      <c r="D8" s="45"/>
      <c r="E8" s="45"/>
      <c r="F8" s="44" t="s">
        <v>2</v>
      </c>
      <c r="G8" s="44"/>
      <c r="H8" s="44"/>
      <c r="I8" s="3" t="s">
        <v>3</v>
      </c>
      <c r="J8" s="3"/>
      <c r="K8" s="3"/>
    </row>
    <row r="9" spans="2:11" x14ac:dyDescent="0.4">
      <c r="B9" s="44" t="s">
        <v>4</v>
      </c>
      <c r="C9" s="44"/>
      <c r="D9" s="45"/>
      <c r="E9" s="45"/>
      <c r="F9" s="44" t="s">
        <v>5</v>
      </c>
      <c r="G9" s="44"/>
      <c r="H9" s="44"/>
      <c r="I9" s="3" t="s">
        <v>6</v>
      </c>
      <c r="J9" s="3"/>
      <c r="K9" s="3"/>
    </row>
    <row r="10" spans="2:11" x14ac:dyDescent="0.4">
      <c r="B10" s="44" t="s">
        <v>27</v>
      </c>
      <c r="C10" s="44"/>
      <c r="D10" s="45"/>
      <c r="E10" s="45"/>
      <c r="F10" s="44" t="s">
        <v>7</v>
      </c>
      <c r="G10" s="44"/>
      <c r="H10" s="44"/>
      <c r="I10" s="3" t="s">
        <v>43</v>
      </c>
      <c r="J10" s="3"/>
      <c r="K10" s="3"/>
    </row>
    <row r="11" spans="2:11" x14ac:dyDescent="0.4">
      <c r="B11" s="44" t="s">
        <v>28</v>
      </c>
      <c r="C11" s="44"/>
      <c r="D11" s="45"/>
      <c r="E11" s="45"/>
      <c r="F11" s="44" t="s">
        <v>8</v>
      </c>
      <c r="G11" s="44"/>
      <c r="H11" s="44"/>
      <c r="I11" s="3" t="s">
        <v>9</v>
      </c>
      <c r="J11" s="3"/>
      <c r="K11" s="3"/>
    </row>
    <row r="12" spans="2:11" x14ac:dyDescent="0.4">
      <c r="B12" s="44" t="s">
        <v>10</v>
      </c>
      <c r="C12" s="44"/>
      <c r="D12" s="45"/>
      <c r="E12" s="45"/>
      <c r="F12" s="44" t="s">
        <v>10</v>
      </c>
      <c r="G12" s="44"/>
      <c r="H12" s="44"/>
      <c r="I12" s="3" t="s">
        <v>29</v>
      </c>
      <c r="J12" s="3"/>
      <c r="K12" s="3"/>
    </row>
    <row r="13" spans="2:11" x14ac:dyDescent="0.4">
      <c r="B13" s="44" t="s">
        <v>11</v>
      </c>
      <c r="C13" s="44"/>
      <c r="D13" s="45"/>
      <c r="E13" s="45"/>
      <c r="F13" s="44" t="s">
        <v>12</v>
      </c>
      <c r="G13" s="44"/>
      <c r="H13" s="44"/>
      <c r="I13" s="3"/>
      <c r="J13" s="3"/>
      <c r="K13" s="3"/>
    </row>
    <row r="14" spans="2:11" ht="16.5" customHeight="1" x14ac:dyDescent="0.4">
      <c r="B14" s="44" t="s">
        <v>13</v>
      </c>
      <c r="C14" s="44"/>
      <c r="D14" s="45"/>
      <c r="E14" s="45"/>
      <c r="F14" s="44" t="s">
        <v>14</v>
      </c>
      <c r="G14" s="44"/>
      <c r="H14" s="44"/>
      <c r="I14" s="3"/>
      <c r="J14" s="3"/>
      <c r="K14" s="3"/>
    </row>
    <row r="15" spans="2:11" ht="18" thickBot="1" x14ac:dyDescent="0.45">
      <c r="B15" s="4"/>
      <c r="C15" s="4"/>
      <c r="D15" s="4"/>
      <c r="E15" s="4"/>
      <c r="F15" s="61" t="s">
        <v>32</v>
      </c>
      <c r="G15" s="61"/>
      <c r="H15" s="61"/>
      <c r="I15" s="40"/>
      <c r="J15" s="4"/>
    </row>
    <row r="16" spans="2:11" ht="9.75" customHeight="1" thickTop="1" x14ac:dyDescent="0.4"/>
    <row r="17" spans="2:11" x14ac:dyDescent="0.4">
      <c r="B17" s="50" t="s">
        <v>15</v>
      </c>
      <c r="C17" s="50"/>
      <c r="D17" s="50"/>
      <c r="E17" s="50"/>
      <c r="F17" s="50"/>
      <c r="G17" s="50"/>
      <c r="H17" s="50"/>
      <c r="I17" s="50"/>
      <c r="J17" s="50"/>
      <c r="K17" s="5"/>
    </row>
    <row r="18" spans="2:11" ht="10.5" customHeight="1" x14ac:dyDescent="0.4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6.75" customHeight="1" thickBot="1" x14ac:dyDescent="0.45"/>
    <row r="20" spans="2:11" x14ac:dyDescent="0.4">
      <c r="B20" s="6" t="s">
        <v>16</v>
      </c>
      <c r="C20" s="7" t="s">
        <v>33</v>
      </c>
      <c r="D20" s="51" t="s">
        <v>34</v>
      </c>
      <c r="E20" s="52"/>
      <c r="F20" s="53"/>
      <c r="G20" s="31" t="s">
        <v>17</v>
      </c>
      <c r="H20" s="7" t="s">
        <v>30</v>
      </c>
      <c r="I20" s="7" t="s">
        <v>18</v>
      </c>
      <c r="J20" s="8" t="s">
        <v>19</v>
      </c>
      <c r="K20" s="9"/>
    </row>
    <row r="21" spans="2:11" ht="36" customHeight="1" x14ac:dyDescent="0.4">
      <c r="B21" s="10">
        <v>1</v>
      </c>
      <c r="C21" s="30" t="s">
        <v>35</v>
      </c>
      <c r="D21" s="54" t="s">
        <v>39</v>
      </c>
      <c r="E21" s="55"/>
      <c r="F21" s="56"/>
      <c r="G21" s="32">
        <v>1</v>
      </c>
      <c r="H21" s="41">
        <v>864000</v>
      </c>
      <c r="I21" s="41">
        <f>H21*G21</f>
        <v>864000</v>
      </c>
      <c r="J21" s="12"/>
      <c r="K21" s="5"/>
    </row>
    <row r="22" spans="2:11" ht="38.25" customHeight="1" x14ac:dyDescent="0.4">
      <c r="B22" s="10">
        <v>2</v>
      </c>
      <c r="C22" s="42" t="s">
        <v>36</v>
      </c>
      <c r="D22" s="54" t="s">
        <v>40</v>
      </c>
      <c r="E22" s="55"/>
      <c r="F22" s="56"/>
      <c r="G22" s="32">
        <v>2</v>
      </c>
      <c r="H22" s="41">
        <v>170000</v>
      </c>
      <c r="I22" s="41">
        <f t="shared" ref="I22:I24" si="0">H22*G22</f>
        <v>340000</v>
      </c>
      <c r="J22" s="12"/>
      <c r="K22" s="5"/>
    </row>
    <row r="23" spans="2:11" ht="36.75" customHeight="1" x14ac:dyDescent="0.4">
      <c r="B23" s="35">
        <v>3</v>
      </c>
      <c r="C23" s="43" t="s">
        <v>37</v>
      </c>
      <c r="D23" s="54" t="s">
        <v>41</v>
      </c>
      <c r="E23" s="55"/>
      <c r="F23" s="56"/>
      <c r="G23" s="37">
        <v>1</v>
      </c>
      <c r="H23" s="41">
        <v>190000</v>
      </c>
      <c r="I23" s="41">
        <f t="shared" si="0"/>
        <v>190000</v>
      </c>
      <c r="J23" s="38"/>
      <c r="K23" s="5"/>
    </row>
    <row r="24" spans="2:11" ht="36" customHeight="1" x14ac:dyDescent="0.4">
      <c r="B24" s="35">
        <v>4</v>
      </c>
      <c r="C24" s="43" t="s">
        <v>38</v>
      </c>
      <c r="D24" s="54" t="s">
        <v>42</v>
      </c>
      <c r="E24" s="55"/>
      <c r="F24" s="56"/>
      <c r="G24" s="37">
        <v>2</v>
      </c>
      <c r="H24" s="41">
        <v>91000</v>
      </c>
      <c r="I24" s="41">
        <f t="shared" si="0"/>
        <v>182000</v>
      </c>
      <c r="J24" s="38"/>
      <c r="K24" s="5"/>
    </row>
    <row r="25" spans="2:11" ht="37.5" customHeight="1" x14ac:dyDescent="0.4">
      <c r="B25" s="35">
        <v>5</v>
      </c>
      <c r="C25" s="36"/>
      <c r="D25" s="54"/>
      <c r="E25" s="55"/>
      <c r="F25" s="56"/>
      <c r="G25" s="37"/>
      <c r="H25" s="11"/>
      <c r="I25" s="11"/>
      <c r="J25" s="38"/>
      <c r="K25" s="5"/>
    </row>
    <row r="26" spans="2:11" ht="37.5" customHeight="1" x14ac:dyDescent="0.4">
      <c r="B26" s="35">
        <v>6</v>
      </c>
      <c r="C26" s="36"/>
      <c r="D26" s="54"/>
      <c r="E26" s="55"/>
      <c r="F26" s="56"/>
      <c r="G26" s="37"/>
      <c r="H26" s="11"/>
      <c r="I26" s="11"/>
      <c r="J26" s="38"/>
      <c r="K26" s="5"/>
    </row>
    <row r="27" spans="2:11" ht="36" customHeight="1" x14ac:dyDescent="0.4">
      <c r="B27" s="35">
        <v>7</v>
      </c>
      <c r="C27" s="36"/>
      <c r="D27" s="54"/>
      <c r="E27" s="55"/>
      <c r="F27" s="56"/>
      <c r="G27" s="37"/>
      <c r="H27" s="11"/>
      <c r="I27" s="11"/>
      <c r="J27" s="38"/>
      <c r="K27" s="5"/>
    </row>
    <row r="28" spans="2:11" ht="39.75" customHeight="1" x14ac:dyDescent="0.4">
      <c r="B28" s="35">
        <v>8</v>
      </c>
      <c r="C28" s="36"/>
      <c r="D28" s="54"/>
      <c r="E28" s="55"/>
      <c r="F28" s="56"/>
      <c r="G28" s="37"/>
      <c r="H28" s="11"/>
      <c r="I28" s="11"/>
      <c r="J28" s="38"/>
      <c r="K28" s="5"/>
    </row>
    <row r="29" spans="2:11" ht="39.75" customHeight="1" x14ac:dyDescent="0.4">
      <c r="B29" s="35">
        <v>9</v>
      </c>
      <c r="C29" s="36"/>
      <c r="D29" s="54"/>
      <c r="E29" s="55"/>
      <c r="F29" s="56"/>
      <c r="G29" s="37"/>
      <c r="H29" s="11"/>
      <c r="I29" s="11"/>
      <c r="J29" s="38"/>
      <c r="K29" s="5"/>
    </row>
    <row r="30" spans="2:11" ht="42.75" customHeight="1" x14ac:dyDescent="0.4">
      <c r="B30" s="35">
        <v>10</v>
      </c>
      <c r="C30" s="36"/>
      <c r="D30" s="54"/>
      <c r="E30" s="55"/>
      <c r="F30" s="56"/>
      <c r="G30" s="37"/>
      <c r="H30" s="11"/>
      <c r="I30" s="11"/>
      <c r="J30" s="38"/>
      <c r="K30" s="5"/>
    </row>
    <row r="31" spans="2:11" ht="18" thickBot="1" x14ac:dyDescent="0.45">
      <c r="B31" s="13"/>
      <c r="C31" s="14"/>
      <c r="D31" s="57"/>
      <c r="E31" s="58"/>
      <c r="F31" s="59"/>
      <c r="G31" s="33"/>
      <c r="H31" s="14"/>
      <c r="I31" s="14"/>
      <c r="J31" s="15"/>
      <c r="K31" s="5"/>
    </row>
    <row r="32" spans="2:11" ht="9.75" customHeight="1" x14ac:dyDescent="0.4">
      <c r="C32" s="16" t="s">
        <v>23</v>
      </c>
    </row>
    <row r="33" spans="2:11" x14ac:dyDescent="0.4">
      <c r="C33" s="28"/>
      <c r="D33" s="28"/>
      <c r="E33" s="28"/>
    </row>
    <row r="34" spans="2:11" ht="18" thickBot="1" x14ac:dyDescent="0.45">
      <c r="C34" s="16" t="s">
        <v>26</v>
      </c>
      <c r="D34" s="28"/>
      <c r="E34" s="28"/>
    </row>
    <row r="35" spans="2:11" ht="18" thickBot="1" x14ac:dyDescent="0.45">
      <c r="C35" s="17"/>
      <c r="D35" s="17"/>
      <c r="E35" s="17"/>
      <c r="H35" s="18" t="s">
        <v>20</v>
      </c>
      <c r="I35" s="19" t="s">
        <v>21</v>
      </c>
      <c r="J35" s="20">
        <f>SUM(I21:I31)</f>
        <v>1576000</v>
      </c>
      <c r="K35" s="21"/>
    </row>
    <row r="36" spans="2:11" ht="17.25" customHeight="1" thickTop="1" thickBot="1" x14ac:dyDescent="0.45">
      <c r="C36" s="60"/>
      <c r="D36" s="60"/>
      <c r="E36" s="60"/>
      <c r="H36" s="22" t="s">
        <v>22</v>
      </c>
      <c r="I36" s="23" t="s">
        <v>21</v>
      </c>
      <c r="J36" s="24">
        <f>J35/10</f>
        <v>157600</v>
      </c>
      <c r="K36" s="21"/>
    </row>
    <row r="37" spans="2:11" ht="18.600000000000001" thickTop="1" thickBot="1" x14ac:dyDescent="0.45">
      <c r="C37" s="29" t="s">
        <v>23</v>
      </c>
      <c r="D37" s="29"/>
      <c r="E37" s="29"/>
      <c r="H37" s="25" t="s">
        <v>24</v>
      </c>
      <c r="I37" s="26" t="s">
        <v>21</v>
      </c>
      <c r="J37" s="27">
        <f>J35+J36</f>
        <v>1733600</v>
      </c>
      <c r="K37" s="21"/>
    </row>
    <row r="38" spans="2:11" x14ac:dyDescent="0.4">
      <c r="C38" s="28"/>
      <c r="D38" s="28"/>
      <c r="E38" s="28"/>
      <c r="H38" s="39"/>
      <c r="I38" s="39"/>
      <c r="J38" s="21"/>
      <c r="K38" s="21"/>
    </row>
    <row r="39" spans="2:11" ht="18" thickBot="1" x14ac:dyDescent="0.45">
      <c r="B39" s="2"/>
      <c r="C39" s="2"/>
      <c r="D39" s="2"/>
      <c r="E39" s="2"/>
      <c r="F39" s="2"/>
      <c r="G39" s="2"/>
      <c r="H39" s="2"/>
      <c r="I39" s="2"/>
      <c r="J39" s="2"/>
    </row>
    <row r="40" spans="2:11" ht="18" thickTop="1" x14ac:dyDescent="0.4">
      <c r="B40" s="62" t="s">
        <v>25</v>
      </c>
      <c r="C40" s="62"/>
      <c r="D40" s="62"/>
      <c r="E40" s="62"/>
      <c r="F40" s="62"/>
      <c r="G40" s="34"/>
      <c r="I40" s="49" t="s">
        <v>6</v>
      </c>
      <c r="J40" s="49"/>
    </row>
  </sheetData>
  <mergeCells count="41">
    <mergeCell ref="B14:C14"/>
    <mergeCell ref="D14:E14"/>
    <mergeCell ref="F14:H14"/>
    <mergeCell ref="F15:H15"/>
    <mergeCell ref="B40:F40"/>
    <mergeCell ref="I40:J40"/>
    <mergeCell ref="B17:J17"/>
    <mergeCell ref="D20:F20"/>
    <mergeCell ref="D21:F21"/>
    <mergeCell ref="D22:F22"/>
    <mergeCell ref="D31:F31"/>
    <mergeCell ref="C36:E36"/>
    <mergeCell ref="D23:F23"/>
    <mergeCell ref="D24:F24"/>
    <mergeCell ref="D25:F25"/>
    <mergeCell ref="D26:F26"/>
    <mergeCell ref="D27:F27"/>
    <mergeCell ref="D28:F28"/>
    <mergeCell ref="D29:F29"/>
    <mergeCell ref="D30:F30"/>
    <mergeCell ref="B12:C12"/>
    <mergeCell ref="D12:E12"/>
    <mergeCell ref="F12:H12"/>
    <mergeCell ref="B13:C13"/>
    <mergeCell ref="D13:E13"/>
    <mergeCell ref="F13:H13"/>
    <mergeCell ref="B3:J3"/>
    <mergeCell ref="B4:J4"/>
    <mergeCell ref="B6:J7"/>
    <mergeCell ref="B8:C8"/>
    <mergeCell ref="D8:E8"/>
    <mergeCell ref="F8:H8"/>
    <mergeCell ref="B11:C11"/>
    <mergeCell ref="D11:E11"/>
    <mergeCell ref="F11:H11"/>
    <mergeCell ref="B9:C9"/>
    <mergeCell ref="D9:E9"/>
    <mergeCell ref="F9:H9"/>
    <mergeCell ref="B10:C10"/>
    <mergeCell ref="D10:E10"/>
    <mergeCell ref="F10:H10"/>
  </mergeCells>
  <phoneticPr fontId="2" type="noConversion"/>
  <pageMargins left="0.7" right="0.7" top="0.75" bottom="0.75" header="0.3" footer="0.3"/>
  <pageSetup paperSize="9" scale="84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발주서</vt:lpstr>
      <vt:lpstr>발주서!Print_Area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나영 권</dc:creator>
  <cp:lastModifiedBy>sangmin nam</cp:lastModifiedBy>
  <cp:lastPrinted>2025-12-18T06:48:13Z</cp:lastPrinted>
  <dcterms:created xsi:type="dcterms:W3CDTF">2025-08-21T03:47:24Z</dcterms:created>
  <dcterms:modified xsi:type="dcterms:W3CDTF">2026-03-18T05:59:21Z</dcterms:modified>
</cp:coreProperties>
</file>